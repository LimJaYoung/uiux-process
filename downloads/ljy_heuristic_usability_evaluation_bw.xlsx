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임자영\"/>
    </mc:Choice>
  </mc:AlternateContent>
  <xr:revisionPtr revIDLastSave="0" documentId="13_ncr:1_{6C7F3B69-7DEF-429E-ACBE-28F57B9C6129}" xr6:coauthVersionLast="45" xr6:coauthVersionMax="45" xr10:uidLastSave="{00000000-0000-0000-0000-000000000000}"/>
  <bookViews>
    <workbookView xWindow="9570" yWindow="40" windowWidth="28800" windowHeight="15910" tabRatio="500" firstSheet="22" activeTab="25" xr2:uid="{00000000-000D-0000-FFFF-FFFF00000000}"/>
  </bookViews>
  <sheets>
    <sheet name="휴리스틱 사용성 평가지1" sheetId="4" r:id="rId1"/>
    <sheet name="휴리스틱 사용성 평가지2" sheetId="1" r:id="rId2"/>
    <sheet name="태스크 시나리오 기록" sheetId="2" state="hidden" r:id="rId3"/>
    <sheet name=" 휴리스틱 사용성 평가지3" sheetId="6" r:id="rId4"/>
    <sheet name="휴리스틱 사용성 평가지4" sheetId="7" r:id="rId5"/>
    <sheet name="휴리스틱 사용성 평가지5" sheetId="8" r:id="rId6"/>
    <sheet name="휴리스틱 사용성 평가지6" sheetId="9" r:id="rId7"/>
    <sheet name="휴리스틱 사용성 평가지7" sheetId="10" r:id="rId8"/>
    <sheet name="휴리스틱 사용성 평가지8" sheetId="11" r:id="rId9"/>
    <sheet name="휴리스틱 사용성 평가지9" sheetId="5" r:id="rId10"/>
    <sheet name="휴리스틱 사용성 평가지10" sheetId="12" r:id="rId11"/>
    <sheet name="휴리스틱 사용성 평가지11" sheetId="13" r:id="rId12"/>
    <sheet name="휴리스틱 사용성 평가지12" sheetId="14" r:id="rId13"/>
    <sheet name="휴리스틱 사용성 평가지13" sheetId="15" r:id="rId14"/>
    <sheet name="휴리스틱 사용성 평가지14" sheetId="16" r:id="rId15"/>
    <sheet name="휴리스틱 사용성 평가지15" sheetId="17" r:id="rId16"/>
    <sheet name="휴리스틱 사용성 평가지16" sheetId="18" r:id="rId17"/>
    <sheet name="휴리스틱 사용성 평가지17" sheetId="19" r:id="rId18"/>
    <sheet name="휴리스틱 사용성 평가지18" sheetId="20" r:id="rId19"/>
    <sheet name="휴리스틱 사용성 평가지19" sheetId="21" r:id="rId20"/>
    <sheet name="휴리스틱 사용성 평가지20" sheetId="22" r:id="rId21"/>
    <sheet name="휴리스틱 사용성 평가지21" sheetId="23" r:id="rId22"/>
    <sheet name="휴리스틱 사용성 평가지23" sheetId="24" r:id="rId23"/>
    <sheet name="휴리스틱 사용성 평가지24" sheetId="25" r:id="rId24"/>
    <sheet name="휴리스틱 사용성 평가지25" sheetId="26" r:id="rId25"/>
    <sheet name="휴리스틱 사용성 평가지26" sheetId="27" r:id="rId26"/>
    <sheet name="종합 분석 요약" sheetId="3" r:id="rId27"/>
  </sheets>
  <definedNames>
    <definedName name="_xlnm.Print_Titles" localSheetId="3">' 휴리스틱 사용성 평가지3'!$1:$4</definedName>
    <definedName name="_xlnm.Print_Titles" localSheetId="0">'휴리스틱 사용성 평가지1'!$1:$4</definedName>
    <definedName name="_xlnm.Print_Titles" localSheetId="10">'휴리스틱 사용성 평가지10'!$1:$4</definedName>
    <definedName name="_xlnm.Print_Titles" localSheetId="11">'휴리스틱 사용성 평가지11'!$1:$4</definedName>
    <definedName name="_xlnm.Print_Titles" localSheetId="12">'휴리스틱 사용성 평가지12'!$1:$4</definedName>
    <definedName name="_xlnm.Print_Titles" localSheetId="13">'휴리스틱 사용성 평가지13'!$1:$4</definedName>
    <definedName name="_xlnm.Print_Titles" localSheetId="14">'휴리스틱 사용성 평가지14'!$1:$4</definedName>
    <definedName name="_xlnm.Print_Titles" localSheetId="15">'휴리스틱 사용성 평가지15'!$1:$4</definedName>
    <definedName name="_xlnm.Print_Titles" localSheetId="16">'휴리스틱 사용성 평가지16'!$1:$4</definedName>
    <definedName name="_xlnm.Print_Titles" localSheetId="17">'휴리스틱 사용성 평가지17'!$1:$4</definedName>
    <definedName name="_xlnm.Print_Titles" localSheetId="18">'휴리스틱 사용성 평가지18'!$1:$4</definedName>
    <definedName name="_xlnm.Print_Titles" localSheetId="19">'휴리스틱 사용성 평가지19'!$1:$4</definedName>
    <definedName name="_xlnm.Print_Titles" localSheetId="1">'휴리스틱 사용성 평가지2'!$1:$4</definedName>
    <definedName name="_xlnm.Print_Titles" localSheetId="20">'휴리스틱 사용성 평가지20'!$1:$4</definedName>
    <definedName name="_xlnm.Print_Titles" localSheetId="21">'휴리스틱 사용성 평가지21'!$1:$4</definedName>
    <definedName name="_xlnm.Print_Titles" localSheetId="22">'휴리스틱 사용성 평가지23'!$1:$4</definedName>
    <definedName name="_xlnm.Print_Titles" localSheetId="23">'휴리스틱 사용성 평가지24'!$1:$4</definedName>
    <definedName name="_xlnm.Print_Titles" localSheetId="24">'휴리스틱 사용성 평가지25'!$1:$4</definedName>
    <definedName name="_xlnm.Print_Titles" localSheetId="25">'휴리스틱 사용성 평가지26'!$1:$4</definedName>
    <definedName name="_xlnm.Print_Titles" localSheetId="4">'휴리스틱 사용성 평가지4'!$1:$4</definedName>
    <definedName name="_xlnm.Print_Titles" localSheetId="5">'휴리스틱 사용성 평가지5'!$1:$4</definedName>
    <definedName name="_xlnm.Print_Titles" localSheetId="6">'휴리스틱 사용성 평가지6'!$1:$4</definedName>
    <definedName name="_xlnm.Print_Titles" localSheetId="7">'휴리스틱 사용성 평가지7'!$1:$4</definedName>
    <definedName name="_xlnm.Print_Titles" localSheetId="8">'휴리스틱 사용성 평가지8'!$1:$4</definedName>
    <definedName name="_xlnm.Print_Titles" localSheetId="9">'휴리스틱 사용성 평가지9'!$1:$4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5" i="27" l="1"/>
  <c r="H55" i="27"/>
  <c r="G55" i="27"/>
  <c r="F55" i="27"/>
  <c r="E55" i="27"/>
  <c r="I55" i="26"/>
  <c r="H55" i="26"/>
  <c r="G55" i="26"/>
  <c r="F55" i="26"/>
  <c r="E55" i="26"/>
  <c r="I55" i="25"/>
  <c r="H55" i="25"/>
  <c r="G55" i="25"/>
  <c r="F55" i="25"/>
  <c r="E55" i="25"/>
  <c r="I55" i="24"/>
  <c r="H55" i="24"/>
  <c r="G55" i="24"/>
  <c r="F55" i="24"/>
  <c r="E55" i="24"/>
  <c r="I55" i="23"/>
  <c r="H55" i="23"/>
  <c r="G55" i="23"/>
  <c r="F55" i="23"/>
  <c r="E55" i="23"/>
  <c r="I55" i="22"/>
  <c r="H55" i="22"/>
  <c r="G55" i="22"/>
  <c r="F55" i="22"/>
  <c r="E55" i="22"/>
  <c r="I55" i="21"/>
  <c r="H55" i="21"/>
  <c r="G55" i="21"/>
  <c r="F55" i="21"/>
  <c r="E55" i="21"/>
  <c r="I55" i="20"/>
  <c r="H55" i="20"/>
  <c r="G55" i="20"/>
  <c r="F55" i="20"/>
  <c r="E55" i="20"/>
  <c r="I55" i="19"/>
  <c r="H55" i="19"/>
  <c r="G55" i="19"/>
  <c r="F55" i="19"/>
  <c r="E55" i="19"/>
  <c r="I55" i="18"/>
  <c r="H55" i="18"/>
  <c r="G55" i="18"/>
  <c r="F55" i="18"/>
  <c r="E55" i="18"/>
  <c r="I55" i="17"/>
  <c r="H55" i="17"/>
  <c r="G55" i="17"/>
  <c r="F55" i="17"/>
  <c r="E55" i="17"/>
  <c r="I55" i="16"/>
  <c r="H55" i="16"/>
  <c r="G55" i="16"/>
  <c r="F55" i="16"/>
  <c r="E55" i="16"/>
  <c r="I55" i="15"/>
  <c r="H55" i="15"/>
  <c r="G55" i="15"/>
  <c r="F55" i="15"/>
  <c r="E55" i="15"/>
  <c r="I55" i="14"/>
  <c r="H55" i="14"/>
  <c r="G55" i="14"/>
  <c r="F55" i="14"/>
  <c r="E55" i="14"/>
  <c r="I55" i="13"/>
  <c r="H55" i="13"/>
  <c r="G55" i="13"/>
  <c r="F55" i="13"/>
  <c r="E55" i="13"/>
  <c r="I55" i="12"/>
  <c r="H55" i="12"/>
  <c r="G55" i="12"/>
  <c r="F55" i="12"/>
  <c r="E55" i="12"/>
  <c r="I55" i="11"/>
  <c r="H55" i="11"/>
  <c r="G55" i="11"/>
  <c r="F55" i="11"/>
  <c r="E55" i="11"/>
  <c r="I55" i="10"/>
  <c r="H55" i="10"/>
  <c r="G55" i="10"/>
  <c r="F55" i="10"/>
  <c r="E55" i="10"/>
  <c r="I55" i="9"/>
  <c r="H55" i="9"/>
  <c r="G55" i="9"/>
  <c r="F55" i="9"/>
  <c r="E55" i="9"/>
  <c r="I55" i="8"/>
  <c r="H55" i="8"/>
  <c r="G55" i="8"/>
  <c r="F55" i="8"/>
  <c r="E55" i="8"/>
  <c r="I55" i="7"/>
  <c r="H55" i="7"/>
  <c r="G55" i="7"/>
  <c r="F55" i="7"/>
  <c r="E55" i="7"/>
  <c r="I55" i="6"/>
  <c r="H55" i="6"/>
  <c r="G55" i="6"/>
  <c r="F55" i="6"/>
  <c r="E55" i="6"/>
  <c r="I55" i="5"/>
  <c r="H55" i="5"/>
  <c r="G55" i="5"/>
  <c r="F55" i="5"/>
  <c r="E55" i="5"/>
  <c r="I55" i="4"/>
  <c r="H55" i="4"/>
  <c r="G55" i="4"/>
  <c r="F55" i="4"/>
  <c r="E55" i="4"/>
  <c r="C13" i="3"/>
  <c r="G14" i="2"/>
  <c r="F14" i="2"/>
  <c r="E14" i="2"/>
  <c r="I55" i="1"/>
  <c r="H55" i="1"/>
  <c r="G55" i="1"/>
  <c r="F55" i="1"/>
  <c r="E55" i="1"/>
</calcChain>
</file>

<file path=xl/sharedStrings.xml><?xml version="1.0" encoding="utf-8"?>
<sst xmlns="http://schemas.openxmlformats.org/spreadsheetml/2006/main" count="2990" uniqueCount="147">
  <si>
    <t>No.</t>
  </si>
  <si>
    <t>휴리스틱 원칙</t>
  </si>
  <si>
    <t>중요도</t>
  </si>
  <si>
    <t>상</t>
  </si>
  <si>
    <t>중</t>
  </si>
  <si>
    <t>열별 평균</t>
  </si>
  <si>
    <r>
      <rPr>
        <i/>
        <sz val="9"/>
        <color rgb="FFFFFFFF"/>
        <rFont val="Noto Sans CJK SC"/>
        <family val="2"/>
      </rPr>
      <t>각 열</t>
    </r>
    <r>
      <rPr>
        <i/>
        <sz val="9"/>
        <color rgb="FFFFFFFF"/>
        <rFont val="맑은 고딕"/>
        <family val="3"/>
        <charset val="129"/>
      </rPr>
      <t>(E~I)</t>
    </r>
    <r>
      <rPr>
        <i/>
        <sz val="9"/>
        <color rgb="FFFFFFFF"/>
        <rFont val="Noto Sans CJK SC"/>
        <family val="2"/>
      </rPr>
      <t>에 점수</t>
    </r>
    <r>
      <rPr>
        <i/>
        <sz val="9"/>
        <color rgb="FFFFFFFF"/>
        <rFont val="맑은 고딕"/>
        <family val="3"/>
        <charset val="129"/>
      </rPr>
      <t>(1~5)</t>
    </r>
    <r>
      <rPr>
        <i/>
        <sz val="9"/>
        <color rgb="FFFFFFFF"/>
        <rFont val="Noto Sans CJK SC"/>
        <family val="2"/>
      </rPr>
      <t>를 숫자로 입력하면 자동 계산됩니다</t>
    </r>
  </si>
  <si>
    <r>
      <rPr>
        <i/>
        <sz val="8"/>
        <color rgb="FF666666"/>
        <rFont val="맑은 고딕"/>
        <family val="3"/>
        <charset val="129"/>
      </rPr>
      <t xml:space="preserve">💡  E~I </t>
    </r>
    <r>
      <rPr>
        <i/>
        <sz val="8"/>
        <color rgb="FF666666"/>
        <rFont val="Noto Sans CJK SC"/>
        <family val="2"/>
      </rPr>
      <t>열에 점수</t>
    </r>
    <r>
      <rPr>
        <i/>
        <sz val="8"/>
        <color rgb="FF666666"/>
        <rFont val="맑은 고딕"/>
        <family val="3"/>
        <charset val="129"/>
      </rPr>
      <t>(1~5)</t>
    </r>
    <r>
      <rPr>
        <i/>
        <sz val="8"/>
        <color rgb="FF666666"/>
        <rFont val="Noto Sans CJK SC"/>
        <family val="2"/>
      </rPr>
      <t xml:space="preserve">를 숫자로 직접 입력  </t>
    </r>
    <r>
      <rPr>
        <i/>
        <sz val="8"/>
        <color rgb="FF666666"/>
        <rFont val="맑은 고딕"/>
        <family val="3"/>
        <charset val="129"/>
      </rPr>
      <t xml:space="preserve">·  </t>
    </r>
    <r>
      <rPr>
        <i/>
        <sz val="8"/>
        <color rgb="FF666666"/>
        <rFont val="Noto Sans CJK SC"/>
        <family val="2"/>
      </rPr>
      <t xml:space="preserve">비고 열에 관찰 내용 기록  </t>
    </r>
    <r>
      <rPr>
        <i/>
        <sz val="8"/>
        <color rgb="FF666666"/>
        <rFont val="맑은 고딕"/>
        <family val="3"/>
        <charset val="129"/>
      </rPr>
      <t>·  1~2</t>
    </r>
    <r>
      <rPr>
        <i/>
        <sz val="8"/>
        <color rgb="FF666666"/>
        <rFont val="Noto Sans CJK SC"/>
        <family val="2"/>
      </rPr>
      <t>점 항목을 우선 개선 과제로 설정</t>
    </r>
  </si>
  <si>
    <r>
      <rPr>
        <b/>
        <sz val="13"/>
        <color rgb="FFFFFFFF"/>
        <rFont val="Noto Sans CJK SC"/>
        <family val="2"/>
      </rPr>
      <t xml:space="preserve">태스크 시나리오 </t>
    </r>
    <r>
      <rPr>
        <b/>
        <sz val="13"/>
        <color rgb="FFFFFFFF"/>
        <rFont val="맑은 고딕"/>
        <family val="3"/>
        <charset val="129"/>
      </rPr>
      <t xml:space="preserve">&amp; </t>
    </r>
    <r>
      <rPr>
        <b/>
        <sz val="13"/>
        <color rgb="FFFFFFFF"/>
        <rFont val="Noto Sans CJK SC"/>
        <family val="2"/>
      </rPr>
      <t>사용자 행동 관찰 기록지</t>
    </r>
  </si>
  <si>
    <r>
      <rPr>
        <sz val="10"/>
        <color rgb="FF666666"/>
        <rFont val="Noto Sans CJK SC"/>
        <family val="2"/>
      </rPr>
      <t xml:space="preserve">참여자 코드 </t>
    </r>
    <r>
      <rPr>
        <sz val="10"/>
        <color rgb="FF666666"/>
        <rFont val="맑은 고딕"/>
        <family val="3"/>
        <charset val="129"/>
      </rPr>
      <t xml:space="preserve">:              </t>
    </r>
    <r>
      <rPr>
        <sz val="10"/>
        <color rgb="FF666666"/>
        <rFont val="Noto Sans CJK SC"/>
        <family val="2"/>
      </rPr>
      <t xml:space="preserve">세션 일시 </t>
    </r>
    <r>
      <rPr>
        <sz val="10"/>
        <color rgb="FF666666"/>
        <rFont val="맑은 고딕"/>
        <family val="3"/>
        <charset val="129"/>
      </rPr>
      <t xml:space="preserve">:              </t>
    </r>
    <r>
      <rPr>
        <sz val="10"/>
        <color rgb="FF666666"/>
        <rFont val="Noto Sans CJK SC"/>
        <family val="2"/>
      </rPr>
      <t xml:space="preserve">진행자 </t>
    </r>
    <r>
      <rPr>
        <sz val="10"/>
        <color rgb="FF666666"/>
        <rFont val="맑은 고딕"/>
        <family val="3"/>
        <charset val="129"/>
      </rPr>
      <t xml:space="preserve">:              </t>
    </r>
    <r>
      <rPr>
        <sz val="10"/>
        <color rgb="FF666666"/>
        <rFont val="Noto Sans CJK SC"/>
        <family val="2"/>
      </rPr>
      <t>기기</t>
    </r>
    <r>
      <rPr>
        <sz val="10"/>
        <color rgb="FF666666"/>
        <rFont val="맑은 고딕"/>
        <family val="3"/>
        <charset val="129"/>
      </rPr>
      <t>/</t>
    </r>
    <r>
      <rPr>
        <sz val="10"/>
        <color rgb="FF666666"/>
        <rFont val="Noto Sans CJK SC"/>
        <family val="2"/>
      </rPr>
      <t xml:space="preserve">환경 </t>
    </r>
    <r>
      <rPr>
        <sz val="10"/>
        <color rgb="FF666666"/>
        <rFont val="맑은 고딕"/>
        <family val="3"/>
        <charset val="129"/>
      </rPr>
      <t>:</t>
    </r>
  </si>
  <si>
    <t>태스크명</t>
  </si>
  <si>
    <r>
      <rPr>
        <b/>
        <sz val="9"/>
        <color rgb="FFFFFFFF"/>
        <rFont val="Noto Sans CJK SC"/>
        <family val="2"/>
      </rPr>
      <t xml:space="preserve">시나리오 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사용자에게 읽어줄 내용</t>
    </r>
    <r>
      <rPr>
        <b/>
        <sz val="9"/>
        <color rgb="FFFFFFFF"/>
        <rFont val="맑은 고딕"/>
        <family val="3"/>
        <charset val="129"/>
      </rPr>
      <t>)</t>
    </r>
  </si>
  <si>
    <t>성공 기준</t>
  </si>
  <si>
    <r>
      <rPr>
        <b/>
        <sz val="9"/>
        <color rgb="FFFFFFFF"/>
        <rFont val="Noto Sans CJK SC"/>
        <family val="2"/>
      </rPr>
      <t xml:space="preserve">소요 시간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초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</si>
  <si>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완료 여부
</t>
    </r>
    <r>
      <rPr>
        <b/>
        <sz val="9"/>
        <color rgb="FFFFFFFF"/>
        <rFont val="맑은 고딕"/>
        <family val="3"/>
        <charset val="129"/>
      </rPr>
      <t xml:space="preserve">(O / X / </t>
    </r>
    <r>
      <rPr>
        <b/>
        <sz val="9"/>
        <color rgb="FFFFFFFF"/>
        <rFont val="Noto Sans CJK SC"/>
        <family val="2"/>
      </rPr>
      <t>부분</t>
    </r>
    <r>
      <rPr>
        <b/>
        <sz val="9"/>
        <color rgb="FFFFFFFF"/>
        <rFont val="맑은 고딕"/>
        <family val="3"/>
        <charset val="129"/>
      </rPr>
      <t>)</t>
    </r>
  </si>
  <si>
    <t>오류 횟수</t>
  </si>
  <si>
    <r>
      <rPr>
        <b/>
        <sz val="9"/>
        <color rgb="FFFFFFFF"/>
        <rFont val="Noto Sans CJK SC"/>
        <family val="2"/>
      </rPr>
      <t xml:space="preserve">관찰 내용 </t>
    </r>
    <r>
      <rPr>
        <b/>
        <sz val="9"/>
        <color rgb="FFFFFFFF"/>
        <rFont val="맑은 고딕"/>
        <family val="3"/>
        <charset val="129"/>
      </rPr>
      <t xml:space="preserve">/ </t>
    </r>
    <r>
      <rPr>
        <b/>
        <sz val="9"/>
        <color rgb="FFFFFFFF"/>
        <rFont val="Noto Sans CJK SC"/>
        <family val="2"/>
      </rPr>
      <t>사용자 발화</t>
    </r>
  </si>
  <si>
    <t>T01</t>
  </si>
  <si>
    <t>회원가입</t>
  </si>
  <si>
    <r>
      <rPr>
        <sz val="9"/>
        <color rgb="FF111111"/>
        <rFont val="Noto Sans CJK SC"/>
        <family val="2"/>
      </rPr>
      <t>앱을 처음 실행합니다</t>
    </r>
    <r>
      <rPr>
        <sz val="9"/>
        <color rgb="FF111111"/>
        <rFont val="맑은 고딕"/>
        <family val="3"/>
        <charset val="129"/>
      </rPr>
      <t xml:space="preserve">. </t>
    </r>
    <r>
      <rPr>
        <sz val="9"/>
        <color rgb="FF111111"/>
        <rFont val="Noto Sans CJK SC"/>
        <family val="2"/>
      </rPr>
      <t>새 계정을 만들어 주세요</t>
    </r>
    <r>
      <rPr>
        <sz val="9"/>
        <color rgb="FF111111"/>
        <rFont val="맑은 고딕"/>
        <family val="3"/>
        <charset val="129"/>
      </rPr>
      <t>.</t>
    </r>
  </si>
  <si>
    <t>회원가입 완료 후 메인 화면 도달</t>
  </si>
  <si>
    <t>T02</t>
  </si>
  <si>
    <t>로그인</t>
  </si>
  <si>
    <r>
      <rPr>
        <sz val="9"/>
        <color rgb="FF111111"/>
        <rFont val="Noto Sans CJK SC"/>
        <family val="2"/>
      </rPr>
      <t>기존 계정으로 로그인해 주세요</t>
    </r>
    <r>
      <rPr>
        <sz val="9"/>
        <color rgb="FF111111"/>
        <rFont val="맑은 고딕"/>
        <family val="3"/>
        <charset val="129"/>
      </rPr>
      <t>. (</t>
    </r>
    <r>
      <rPr>
        <sz val="9"/>
        <color rgb="FF111111"/>
        <rFont val="Noto Sans CJK SC"/>
        <family val="2"/>
      </rPr>
      <t>계정 정보 제공</t>
    </r>
    <r>
      <rPr>
        <sz val="9"/>
        <color rgb="FF111111"/>
        <rFont val="맑은 고딕"/>
        <family val="3"/>
        <charset val="129"/>
      </rPr>
      <t>)</t>
    </r>
  </si>
  <si>
    <t>메인 화면 정상 진입</t>
  </si>
  <si>
    <t>T03</t>
  </si>
  <si>
    <t>상품 검색</t>
  </si>
  <si>
    <r>
      <rPr>
        <sz val="9"/>
        <color rgb="FF111111"/>
        <rFont val="맑은 고딕"/>
        <family val="3"/>
        <charset val="129"/>
      </rPr>
      <t>'</t>
    </r>
    <r>
      <rPr>
        <sz val="9"/>
        <color rgb="FF111111"/>
        <rFont val="Noto Sans CJK SC"/>
        <family val="2"/>
      </rPr>
      <t>블루투스 이어폰</t>
    </r>
    <r>
      <rPr>
        <sz val="9"/>
        <color rgb="FF111111"/>
        <rFont val="맑은 고딕"/>
        <family val="3"/>
        <charset val="129"/>
      </rPr>
      <t>'</t>
    </r>
    <r>
      <rPr>
        <sz val="9"/>
        <color rgb="FF111111"/>
        <rFont val="Noto Sans CJK SC"/>
        <family val="2"/>
      </rPr>
      <t>을 검색하고 원하는 상품을 찾아보세요</t>
    </r>
    <r>
      <rPr>
        <sz val="9"/>
        <color rgb="FF111111"/>
        <rFont val="맑은 고딕"/>
        <family val="3"/>
        <charset val="129"/>
      </rPr>
      <t>.</t>
    </r>
  </si>
  <si>
    <t>검색 결과 목록 확인</t>
  </si>
  <si>
    <t>T04</t>
  </si>
  <si>
    <t>상품 상세</t>
  </si>
  <si>
    <r>
      <rPr>
        <sz val="9"/>
        <color rgb="FF111111"/>
        <rFont val="Noto Sans CJK SC"/>
        <family val="2"/>
      </rPr>
      <t>마음에 드는 상품 상세 페이지를 열어보세요</t>
    </r>
    <r>
      <rPr>
        <sz val="9"/>
        <color rgb="FF111111"/>
        <rFont val="맑은 고딕"/>
        <family val="3"/>
        <charset val="129"/>
      </rPr>
      <t>.</t>
    </r>
  </si>
  <si>
    <t>상세 페이지 진입 및 정보 확인</t>
  </si>
  <si>
    <t>T05</t>
  </si>
  <si>
    <t>장바구니</t>
  </si>
  <si>
    <r>
      <rPr>
        <sz val="9"/>
        <color rgb="FF111111"/>
        <rFont val="Noto Sans CJK SC"/>
        <family val="2"/>
      </rPr>
      <t>현재 보는 상품을 장바구니에 추가해 주세요</t>
    </r>
    <r>
      <rPr>
        <sz val="9"/>
        <color rgb="FF111111"/>
        <rFont val="맑은 고딕"/>
        <family val="3"/>
        <charset val="129"/>
      </rPr>
      <t>.</t>
    </r>
  </si>
  <si>
    <t>장바구니 추가 완료 메시지 확인</t>
  </si>
  <si>
    <t>T06</t>
  </si>
  <si>
    <t>결제 진행</t>
  </si>
  <si>
    <r>
      <rPr>
        <sz val="9"/>
        <color rgb="FF111111"/>
        <rFont val="Noto Sans CJK SC"/>
        <family val="2"/>
      </rPr>
      <t>장바구니에서 결제 화면까지 이동해 주세요</t>
    </r>
    <r>
      <rPr>
        <sz val="9"/>
        <color rgb="FF111111"/>
        <rFont val="맑은 고딕"/>
        <family val="3"/>
        <charset val="129"/>
      </rPr>
      <t>.</t>
    </r>
  </si>
  <si>
    <t>결제 정보 입력 화면 도달</t>
  </si>
  <si>
    <t>T07</t>
  </si>
  <si>
    <t>주문 내역</t>
  </si>
  <si>
    <r>
      <rPr>
        <sz val="9"/>
        <color rgb="FF111111"/>
        <rFont val="Noto Sans CJK SC"/>
        <family val="2"/>
      </rPr>
      <t>방금 주문한 내역을 확인해 주세요</t>
    </r>
    <r>
      <rPr>
        <sz val="9"/>
        <color rgb="FF111111"/>
        <rFont val="맑은 고딕"/>
        <family val="3"/>
        <charset val="129"/>
      </rPr>
      <t>.</t>
    </r>
  </si>
  <si>
    <t>주문 상세 내역 화면 확인</t>
  </si>
  <si>
    <t>T08</t>
  </si>
  <si>
    <t>프로필 수정</t>
  </si>
  <si>
    <r>
      <rPr>
        <sz val="9"/>
        <color rgb="FF111111"/>
        <rFont val="Noto Sans CJK SC"/>
        <family val="2"/>
      </rPr>
      <t>닉네임을 변경해 주세요</t>
    </r>
    <r>
      <rPr>
        <sz val="9"/>
        <color rgb="FF111111"/>
        <rFont val="맑은 고딕"/>
        <family val="3"/>
        <charset val="129"/>
      </rPr>
      <t>.</t>
    </r>
  </si>
  <si>
    <t>닉네임 변경 완료</t>
  </si>
  <si>
    <t>T09</t>
  </si>
  <si>
    <t>오류 복구</t>
  </si>
  <si>
    <r>
      <rPr>
        <sz val="9"/>
        <color rgb="FF111111"/>
        <rFont val="Noto Sans CJK SC"/>
        <family val="2"/>
      </rPr>
      <t>로그인 시 잘못된 비밀번호를 입력해 보세요</t>
    </r>
    <r>
      <rPr>
        <sz val="9"/>
        <color rgb="FF111111"/>
        <rFont val="맑은 고딕"/>
        <family val="3"/>
        <charset val="129"/>
      </rPr>
      <t>.</t>
    </r>
  </si>
  <si>
    <t>오류 메시지 확인 및 재시도 가능</t>
  </si>
  <si>
    <t>T10</t>
  </si>
  <si>
    <t>도움말</t>
  </si>
  <si>
    <r>
      <rPr>
        <sz val="9"/>
        <color rgb="FF111111"/>
        <rFont val="Noto Sans CJK SC"/>
        <family val="2"/>
      </rPr>
      <t>문의 또는 도움말 페이지를 찾아주세요</t>
    </r>
    <r>
      <rPr>
        <sz val="9"/>
        <color rgb="FF111111"/>
        <rFont val="맑은 고딕"/>
        <family val="3"/>
        <charset val="129"/>
      </rPr>
      <t>.</t>
    </r>
  </si>
  <si>
    <r>
      <rPr>
        <sz val="9"/>
        <color rgb="FF111111"/>
        <rFont val="Noto Sans CJK SC"/>
        <family val="2"/>
      </rPr>
      <t>도움말</t>
    </r>
    <r>
      <rPr>
        <sz val="9"/>
        <color rgb="FF111111"/>
        <rFont val="맑은 고딕"/>
        <family val="3"/>
        <charset val="129"/>
      </rPr>
      <t xml:space="preserve">/FAQ </t>
    </r>
    <r>
      <rPr>
        <sz val="9"/>
        <color rgb="FF111111"/>
        <rFont val="Noto Sans CJK SC"/>
        <family val="2"/>
      </rPr>
      <t>화면 도달</t>
    </r>
  </si>
  <si>
    <r>
      <rPr>
        <b/>
        <sz val="9"/>
        <color rgb="FFFFFFFF"/>
        <rFont val="Noto Sans CJK SC"/>
        <family val="2"/>
      </rPr>
      <t xml:space="preserve">합계 </t>
    </r>
    <r>
      <rPr>
        <b/>
        <sz val="9"/>
        <color rgb="FFFFFFFF"/>
        <rFont val="맑은 고딕"/>
        <family val="3"/>
        <charset val="129"/>
      </rPr>
      <t xml:space="preserve">/ </t>
    </r>
    <r>
      <rPr>
        <b/>
        <sz val="9"/>
        <color rgb="FFFFFFFF"/>
        <rFont val="Noto Sans CJK SC"/>
        <family val="2"/>
      </rPr>
      <t>평균</t>
    </r>
  </si>
  <si>
    <t>휴리스틱 사용성 평가 — 종합 분석 요약</t>
  </si>
  <si>
    <r>
      <rPr>
        <b/>
        <sz val="9"/>
        <color rgb="FFFFFFFF"/>
        <rFont val="Noto Sans CJK SC"/>
        <family val="2"/>
      </rPr>
      <t xml:space="preserve">평균 점수
</t>
    </r>
    <r>
      <rPr>
        <b/>
        <sz val="9"/>
        <color rgb="FFFFFFFF"/>
        <rFont val="맑은 고딕"/>
        <family val="3"/>
        <charset val="129"/>
      </rPr>
      <t>(5</t>
    </r>
    <r>
      <rPr>
        <b/>
        <sz val="9"/>
        <color rgb="FFFFFFFF"/>
        <rFont val="Noto Sans CJK SC"/>
        <family val="2"/>
      </rPr>
      <t>점 만점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</si>
  <si>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중요도
</t>
    </r>
    <r>
      <rPr>
        <b/>
        <sz val="9"/>
        <color rgb="FFFFFFFF"/>
        <rFont val="맑은 고딕"/>
        <family val="3"/>
        <charset val="129"/>
      </rPr>
      <t>(</t>
    </r>
    <r>
      <rPr>
        <b/>
        <sz val="9"/>
        <color rgb="FFFFFFFF"/>
        <rFont val="Noto Sans CJK SC"/>
        <family val="2"/>
      </rPr>
      <t>상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중</t>
    </r>
    <r>
      <rPr>
        <b/>
        <sz val="9"/>
        <color rgb="FFFFFFFF"/>
        <rFont val="맑은 고딕"/>
        <family val="3"/>
        <charset val="129"/>
      </rPr>
      <t>/</t>
    </r>
    <r>
      <rPr>
        <b/>
        <sz val="9"/>
        <color rgb="FFFFFFFF"/>
        <rFont val="Noto Sans CJK SC"/>
        <family val="2"/>
      </rPr>
      <t>하</t>
    </r>
    <r>
      <rPr>
        <b/>
        <sz val="9"/>
        <color rgb="FFFFFFFF"/>
        <rFont val="맑은 고딕"/>
        <family val="3"/>
        <charset val="129"/>
      </rPr>
      <t>)</t>
    </r>
  </si>
  <si>
    <r>
      <rPr>
        <b/>
        <sz val="9"/>
        <color rgb="FFFFFFFF"/>
        <rFont val="Noto Sans CJK SC"/>
        <family val="2"/>
      </rPr>
      <t xml:space="preserve">문제 심각도
</t>
    </r>
    <r>
      <rPr>
        <b/>
        <sz val="9"/>
        <color rgb="FFFFFFFF"/>
        <rFont val="맑은 고딕"/>
        <family val="3"/>
        <charset val="129"/>
      </rPr>
      <t>(Critical/Major/Minor)</t>
    </r>
  </si>
  <si>
    <r>
      <rPr>
        <b/>
        <sz val="9"/>
        <color rgb="FFFFFFFF"/>
        <rFont val="Noto Sans CJK SC"/>
        <family val="2"/>
      </rPr>
      <t xml:space="preserve">개선 우선순위
</t>
    </r>
    <r>
      <rPr>
        <b/>
        <sz val="9"/>
        <color rgb="FFFFFFFF"/>
        <rFont val="맑은 고딕"/>
        <family val="3"/>
        <charset val="129"/>
      </rPr>
      <t>(1~10)</t>
    </r>
  </si>
  <si>
    <t>핵심 문제 요약 및 개선 권고</t>
  </si>
  <si>
    <r>
      <rPr>
        <b/>
        <sz val="9"/>
        <color rgb="FF111111"/>
        <rFont val="맑은 고딕"/>
        <family val="3"/>
        <charset val="129"/>
      </rPr>
      <t xml:space="preserve">H1  </t>
    </r>
    <r>
      <rPr>
        <b/>
        <sz val="9"/>
        <color rgb="FF111111"/>
        <rFont val="Noto Sans CJK SC"/>
        <family val="2"/>
      </rPr>
      <t>시스템 상태 가시성</t>
    </r>
  </si>
  <si>
    <r>
      <rPr>
        <sz val="9"/>
        <color rgb="FF111111"/>
        <rFont val="Noto Sans CJK SC"/>
        <family val="2"/>
      </rPr>
      <t xml:space="preserve">상 </t>
    </r>
    <r>
      <rPr>
        <sz val="9"/>
        <color rgb="FF111111"/>
        <rFont val="맑은 고딕"/>
        <family val="3"/>
        <charset val="129"/>
      </rPr>
      <t xml:space="preserve">/ </t>
    </r>
    <r>
      <rPr>
        <sz val="9"/>
        <color rgb="FF111111"/>
        <rFont val="Noto Sans CJK SC"/>
        <family val="2"/>
      </rPr>
      <t xml:space="preserve">중 </t>
    </r>
    <r>
      <rPr>
        <sz val="9"/>
        <color rgb="FF111111"/>
        <rFont val="맑은 고딕"/>
        <family val="3"/>
        <charset val="129"/>
      </rPr>
      <t xml:space="preserve">/ </t>
    </r>
    <r>
      <rPr>
        <sz val="9"/>
        <color rgb="FF111111"/>
        <rFont val="Noto Sans CJK SC"/>
        <family val="2"/>
      </rPr>
      <t>하</t>
    </r>
  </si>
  <si>
    <t>Critical / Major / Minor</t>
  </si>
  <si>
    <r>
      <rPr>
        <b/>
        <sz val="9"/>
        <color rgb="FF111111"/>
        <rFont val="맑은 고딕"/>
        <family val="3"/>
        <charset val="129"/>
      </rPr>
      <t xml:space="preserve">H2  </t>
    </r>
    <r>
      <rPr>
        <b/>
        <sz val="9"/>
        <color rgb="FF111111"/>
        <rFont val="Noto Sans CJK SC"/>
        <family val="2"/>
      </rPr>
      <t>실제 세계와의 일치</t>
    </r>
  </si>
  <si>
    <r>
      <rPr>
        <b/>
        <sz val="9"/>
        <color rgb="FF111111"/>
        <rFont val="맑은 고딕"/>
        <family val="3"/>
        <charset val="129"/>
      </rPr>
      <t xml:space="preserve">H3  </t>
    </r>
    <r>
      <rPr>
        <b/>
        <sz val="9"/>
        <color rgb="FF111111"/>
        <rFont val="Noto Sans CJK SC"/>
        <family val="2"/>
      </rPr>
      <t>사용자 통제 및 자유</t>
    </r>
  </si>
  <si>
    <r>
      <rPr>
        <b/>
        <sz val="9"/>
        <color rgb="FF111111"/>
        <rFont val="맑은 고딕"/>
        <family val="3"/>
        <charset val="129"/>
      </rPr>
      <t xml:space="preserve">H4  </t>
    </r>
    <r>
      <rPr>
        <b/>
        <sz val="9"/>
        <color rgb="FF111111"/>
        <rFont val="Noto Sans CJK SC"/>
        <family val="2"/>
      </rPr>
      <t>일관성 및 표준 준수</t>
    </r>
  </si>
  <si>
    <r>
      <rPr>
        <b/>
        <sz val="9"/>
        <color rgb="FF111111"/>
        <rFont val="맑은 고딕"/>
        <family val="3"/>
        <charset val="129"/>
      </rPr>
      <t xml:space="preserve">H5  </t>
    </r>
    <r>
      <rPr>
        <b/>
        <sz val="9"/>
        <color rgb="FF111111"/>
        <rFont val="Noto Sans CJK SC"/>
        <family val="2"/>
      </rPr>
      <t>오류 방지</t>
    </r>
  </si>
  <si>
    <r>
      <rPr>
        <b/>
        <sz val="9"/>
        <color rgb="FF111111"/>
        <rFont val="맑은 고딕"/>
        <family val="3"/>
        <charset val="129"/>
      </rPr>
      <t xml:space="preserve">H6  </t>
    </r>
    <r>
      <rPr>
        <b/>
        <sz val="9"/>
        <color rgb="FF111111"/>
        <rFont val="Noto Sans CJK SC"/>
        <family val="2"/>
      </rPr>
      <t>인식보다 기억 최소화</t>
    </r>
  </si>
  <si>
    <r>
      <rPr>
        <b/>
        <sz val="9"/>
        <color rgb="FF111111"/>
        <rFont val="맑은 고딕"/>
        <family val="3"/>
        <charset val="129"/>
      </rPr>
      <t xml:space="preserve">H7  </t>
    </r>
    <r>
      <rPr>
        <b/>
        <sz val="9"/>
        <color rgb="FF111111"/>
        <rFont val="Noto Sans CJK SC"/>
        <family val="2"/>
      </rPr>
      <t>사용 유연성 및 효율성</t>
    </r>
  </si>
  <si>
    <r>
      <rPr>
        <b/>
        <sz val="9"/>
        <color rgb="FF111111"/>
        <rFont val="맑은 고딕"/>
        <family val="3"/>
        <charset val="129"/>
      </rPr>
      <t xml:space="preserve">H8  </t>
    </r>
    <r>
      <rPr>
        <b/>
        <sz val="9"/>
        <color rgb="FF111111"/>
        <rFont val="Noto Sans CJK SC"/>
        <family val="2"/>
      </rPr>
      <t>미학적</t>
    </r>
    <r>
      <rPr>
        <b/>
        <sz val="9"/>
        <color rgb="FF111111"/>
        <rFont val="맑은 고딕"/>
        <family val="3"/>
        <charset val="129"/>
      </rPr>
      <t>·</t>
    </r>
    <r>
      <rPr>
        <b/>
        <sz val="9"/>
        <color rgb="FF111111"/>
        <rFont val="Noto Sans CJK SC"/>
        <family val="2"/>
      </rPr>
      <t>미니멀 디자인</t>
    </r>
  </si>
  <si>
    <r>
      <rPr>
        <b/>
        <sz val="9"/>
        <color rgb="FF111111"/>
        <rFont val="맑은 고딕"/>
        <family val="3"/>
        <charset val="129"/>
      </rPr>
      <t xml:space="preserve">H9  </t>
    </r>
    <r>
      <rPr>
        <b/>
        <sz val="9"/>
        <color rgb="FF111111"/>
        <rFont val="Noto Sans CJK SC"/>
        <family val="2"/>
      </rPr>
      <t>오류 인식</t>
    </r>
    <r>
      <rPr>
        <b/>
        <sz val="9"/>
        <color rgb="FF111111"/>
        <rFont val="맑은 고딕"/>
        <family val="3"/>
        <charset val="129"/>
      </rPr>
      <t>·</t>
    </r>
    <r>
      <rPr>
        <b/>
        <sz val="9"/>
        <color rgb="FF111111"/>
        <rFont val="Noto Sans CJK SC"/>
        <family val="2"/>
      </rPr>
      <t>진단</t>
    </r>
    <r>
      <rPr>
        <b/>
        <sz val="9"/>
        <color rgb="FF111111"/>
        <rFont val="맑은 고딕"/>
        <family val="3"/>
        <charset val="129"/>
      </rPr>
      <t>·</t>
    </r>
    <r>
      <rPr>
        <b/>
        <sz val="9"/>
        <color rgb="FF111111"/>
        <rFont val="Noto Sans CJK SC"/>
        <family val="2"/>
      </rPr>
      <t>복구</t>
    </r>
  </si>
  <si>
    <r>
      <rPr>
        <b/>
        <sz val="9"/>
        <color rgb="FF111111"/>
        <rFont val="맑은 고딕"/>
        <family val="3"/>
        <charset val="129"/>
      </rPr>
      <t xml:space="preserve">H10  </t>
    </r>
    <r>
      <rPr>
        <b/>
        <sz val="9"/>
        <color rgb="FF111111"/>
        <rFont val="Noto Sans CJK SC"/>
        <family val="2"/>
      </rPr>
      <t>도움말 및 문서화</t>
    </r>
  </si>
  <si>
    <t>전체 종합 평균</t>
  </si>
  <si>
    <t>UIUX 휴리스틱 사용성 평가지  |  Jakob Nielsen 10 Heuristics</t>
  </si>
  <si>
    <t>★ 채점 기준 :  1 = 매우 불만족 (심각한 문제)  |  2 = 불만족 (개선 필요)  |  3 = 보통 (Minor 이슈)  |  4 = 만족 (양호)  |  5 = 매우 만족 (우수)</t>
  </si>
  <si>
    <t>평가 문항  /  체크 포인트</t>
  </si>
  <si>
    <t>1점</t>
  </si>
  <si>
    <t>2점</t>
  </si>
  <si>
    <t>3점</t>
  </si>
  <si>
    <t>4점</t>
  </si>
  <si>
    <t>5점</t>
  </si>
  <si>
    <t>비고 / 관찰 내용</t>
  </si>
  <si>
    <t xml:space="preserve">  H1   시스템 상태 가시성  —  (Visibility of System Status)</t>
  </si>
  <si>
    <t>시스템 상태 가시성
(Visibility of System Status)</t>
  </si>
  <si>
    <t>현재 시스템이 처리 중인 작업을 명확하게 표시하는가?
  ↳ 로딩 인디케이터, 프로그레스 바, 퍼센트 표시 등</t>
  </si>
  <si>
    <t>사용자의 행동 후 즉각적인 피드백(성공/실패)이 제공되는가?
  ↳ 버튼 클릭·폼 제출 후 토스트, 알림 메시지 등</t>
  </si>
  <si>
    <t>현재 앱/사이트의 어느 위치에 있는지 파악할 수 있는가?
  ↳ 브레드크럼, 탭 강조, 페이지 타이틀 등</t>
  </si>
  <si>
    <t>시간이 걸리는 작업의 진행률을 사용자가 확인할 수 있는가?
  ↳ 업로드·저장·처리 시 진행 상태 표시 여부</t>
  </si>
  <si>
    <t xml:space="preserve">  H2   실제 세계와의 일치  —  (Match Between System and Real World)</t>
  </si>
  <si>
    <t>실제 세계와의 일치
(Match Between System and Real World)</t>
  </si>
  <si>
    <t>사용된 용어·아이콘이 사용자의 실생활 언어 및 개념과 일치하는가?
  ↳ 전문 용어, 약어, 개발자 용어 없이 일반인이 이해 가능한지</t>
  </si>
  <si>
    <t>버튼·레이블의 명칭이 직관적이며 기술적 전문용어를 피하고 있는가?
  ↳ 'Submit'→'보내기' 처럼 쉬운 말로 표현되는지</t>
  </si>
  <si>
    <t>정보가 사용자가 기대하는 논리적 순서로 배치되어 있는가?
  ↳ 날짜·주소 입력 순서, 콘텐츠 흐름 등</t>
  </si>
  <si>
    <t>아이콘이나 이미지가 실제 세계의 사물·행위를 명확히 연상시키는가?
  ↳ 아이콘만 봐도 기능을 직관적으로 알 수 있는지</t>
  </si>
  <si>
    <t xml:space="preserve">  H3   사용자 통제 및 자유  —  (User Control and Freedom)</t>
  </si>
  <si>
    <t>사용자 통제 및 자유
(User Control and Freedom)</t>
  </si>
  <si>
    <t>실수로 수행한 작업을 쉽게 취소하거나 되돌릴 수 있는가?
  ↳ Undo/Redo, 뒤로가기, '이전 단계로' 버튼 등</t>
  </si>
  <si>
    <t>원하지 않는 상태에서 '비상구' 역할의 취소/닫기 옵션이 있는가?
  ↳ 팝업·모달·풀스크린 어디서도 빠져나올 경로가 있는지</t>
  </si>
  <si>
    <t>되돌리기 어려운 작업 전에 확인 단계가 제공되는가?
  ↳ 삭제·탈퇴·결제 전 경고/확인 메시지 여부</t>
  </si>
  <si>
    <t>사용자가 원하는 시점에 작업을 중단하고 다른 화면으로 이동할 수 있는가?
  ↳ 작업 도중 자유로운 이동 가능 여부</t>
  </si>
  <si>
    <t xml:space="preserve">  H4   일관성 및 표준 준수  —  (Consistency and Standards)</t>
  </si>
  <si>
    <t>일관성 및 표준 준수
(Consistency and Standards)</t>
  </si>
  <si>
    <t>UI 컴포넌트의 스타일과 동작이 전 화면에서 일관되게 유지되는가?
  ↳ 버튼 크기·색상·폰트·간격의 전 화면 통일 여부</t>
  </si>
  <si>
    <t>같은 기능을 하는 요소에 동일한 명칭과 레이블이 사용되는가?
  ↳ 저장/Save/완료/확인 혼재 없이 동일 기능=동일 명칭</t>
  </si>
  <si>
    <t>플랫폼의 표준 UX 패턴 및 네이밍 컨벤션을 따르고 있는가?
  ↳ iOS/Android/Web 플랫폼 가이드라인 준수 여부</t>
  </si>
  <si>
    <t>색상·폰트·간격 등 시각 디자인 시스템이 일관되게 적용되어 있는가?
  ↳ 컬러 팔레트, 타이포그래피, 여백 규칙의 일관성</t>
  </si>
  <si>
    <t xml:space="preserve">  H5   오류 방지  —  (Error Prevention)</t>
  </si>
  <si>
    <t>오류 방지
(Error Prevention)</t>
  </si>
  <si>
    <t>입력 폼에서 잘못된 형식이나 필수 항목 누락을 사전에 방지하는 가이드가 있는가?
  ↳ Placeholder, 형식 예시, 실시간 유효성 검사 여부</t>
  </si>
  <si>
    <t>되돌리기 어려운 작업 전에 경고 또는 확인 메시지가 표시되는가?
  ↳ 삭제·탈퇴·초기화 등 전 'Are you sure?' 확인 여부</t>
  </si>
  <si>
    <t>실수를 유발할 수 있는 위험한 버튼이 중요 버튼과 충분히 분리되어 있는가?
  ↳ 삭제/취소와 저장/확인 버튼의 물리적·시각적 분리</t>
  </si>
  <si>
    <t>자동완성·드롭다운 등 입력 실수를 줄이는 UX 패턴이 적용되어 있는가?
  ↳ 자유 입력 대신 선택형(드롭다운, 달력 피커 등) 활용</t>
  </si>
  <si>
    <t xml:space="preserve">  H6   인식보다 기억 최소화  —  (Recognition Rather Than Recall)</t>
  </si>
  <si>
    <t>인식보다 기억 최소화
(Recognition Rather Than Recall)</t>
  </si>
  <si>
    <t>사용자가 이전 작업이나 선택 항목을 쉽게 다시 찾을 수 있는가?
  ↳ 최근 기록, 북마크, 히스토리, 최근 본 항목 등 제공 여부</t>
  </si>
  <si>
    <t>메뉴·옵션이 모두 화면에 노출되어 사용자가 기억하지 않아도 되는가?
  ↳ 핵심 기능이 숨겨지지 않고 직접 접근 가능한지</t>
  </si>
  <si>
    <t>아이콘에 레이블 텍스트가 함께 표시되거나 툴팁으로 기능이 설명되는가?
  ↳ 텍스트 레이블 또는 마우스오버 툴팁 제공 여부</t>
  </si>
  <si>
    <t>복잡한 작업의 경우 단계별 안내 또는 힌트가 화면에 제공되는가?
  ↳ Step 표시, 각 단계 설명, 도움말 아이콘 등 여부</t>
  </si>
  <si>
    <t xml:space="preserve">  H7   사용 유연성 및 효율성  —  (Flexibility and Efficiency of Use)</t>
  </si>
  <si>
    <t>사용 유연성 및 효율성
(Flexibility and Efficiency of Use)</t>
  </si>
  <si>
    <t>초보자와 숙련자 모두를 위한 인터랙션 방식이 제공되는가?
  ↳ 기본/고급 모드, 초보자 안내와 전문가 단축 경로 공존</t>
  </si>
  <si>
    <t>자주 사용하는 기능에 빠르게 접근할 수 있는 경로가 있는가?
  ↳ 즐겨찾기, 최근 사용, 핀 고정, 단축키, 퀵 메뉴 등</t>
  </si>
  <si>
    <t>반복적인 작업을 자동화하거나 설정을 저장할 수 있는가?
  ↳ 템플릿 저장, 설정 기억, 매크로, 자동 완성 등</t>
  </si>
  <si>
    <t>검색 기능이 강력하고 신속하게 원하는 콘텐츠를 찾도록 지원하는가?
  ↳ 자동완성, 필터, 정렬 옵션 등 검색 지원 수준</t>
  </si>
  <si>
    <t xml:space="preserve">  H8   미학적·미니멀 디자인  —  (Aesthetic and Minimalist Design)</t>
  </si>
  <si>
    <t>미학적·미니멀 디자인
(Aesthetic and Minimalist Design)</t>
  </si>
  <si>
    <t>화면에 불필요한 정보, 장식 요소, 미사용 기능이 없는가?
  ↳ 핵심 태스크와 무관한 요소가 공간을 차지하지 않는지</t>
  </si>
  <si>
    <t>핵심 콘텐츠와 기능이 시각적으로 명확하게 강조되어 있는가?
  ↳ 크기·색상·위치로 시각적 계층 구조가 형성되는지</t>
  </si>
  <si>
    <t>공백(White Space)을 적절히 활용하여 콘텐츠가 여유롭게 배치되어 있는가?
  ↳ 요소 간 간격이 충분하고 읽기 편한지</t>
  </si>
  <si>
    <t>타이포그래피·색상·이미지가 목적에 맞게 절제되어 사용되는가?
  ↳ 폰트 종류·색상 가짓수 최소화, 장식 과잉 여부</t>
  </si>
  <si>
    <t xml:space="preserve">  H9   오류 인식·진단·복구 지원  —  (Help Recognize, Diagnose, Recover)</t>
  </si>
  <si>
    <t>오류 인식·진단·복구 지원
(Help Recognize, Diagnose, Recover)</t>
  </si>
  <si>
    <t>오류 메시지가 사용자가 이해할 수 있는 평이한 언어로 작성되어 있는가?
  ↳ 에러 코드·기술 용어 없이 일반인이 이해하는 언어</t>
  </si>
  <si>
    <t>오류 메시지가 문제의 원인을 명확하게 설명하고 있는가?
  ↳ '오류 발생' 대신 구체적 원인 설명 여부</t>
  </si>
  <si>
    <t>오류 메시지가 해결 방법 또는 다음 행동 지침을 제안하는가?
  ↳ 문제 설명에서 끝나지 않고 행동 가이드 제공 여부</t>
  </si>
  <si>
    <t>오류 발생 시 사용자가 입력한 데이터가 초기화되지 않고 유지되는가?
  ↳ 폼 제출 실패 후 입력 내용 보존 여부</t>
  </si>
  <si>
    <t xml:space="preserve">  H10   도움말 및 문서화  —  (Help and Documentation)</t>
  </si>
  <si>
    <t>도움말 및 문서화
(Help and Documentation)</t>
  </si>
  <si>
    <t>도움말·FAQ·튜토리얼 등이 필요한 시점에 쉽게 접근 가능한가?
  ↳ 도움말 버튼, 챗봇, FAQ 링크가 막히는 지점 근처에 위치하는지</t>
  </si>
  <si>
    <t>도움말 내용이 사용자의 실제 작업 흐름에 맞춰 구성되어 있는가?
  ↳ 기능 나열식이 아닌 태스크 기반 '어떻게 하나요?' 구성</t>
  </si>
  <si>
    <t>온보딩 튜토리얼 또는 빈 상태(Empty State) 화면에 안내가 제공되는가?
  ↳ 처음 사용자 / 빈 화면에서 다음 행동 안내 여부</t>
  </si>
  <si>
    <t>검색 가능한 도움말 또는 챗봇·인앱 가이드가 제공되는가?
  ↳ 전체 탐색 없이 바로 검색하거나 대화형 가이드 여부</t>
  </si>
  <si>
    <t xml:space="preserve">               제품/서비스명 :                                                                                                                                                                                                일시 :  20260528                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</si>
</sst>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7">
    <font>
      <sz val="11"/>
      <color theme="1"/>
      <name val="Calibri"/>
      <family val="2"/>
      <charset val="1"/>
    </font>
    <font>
      <sz val="10"/>
      <color rgb="FF666666"/>
      <name val="Noto Sans CJK SC"/>
      <family val="2"/>
    </font>
    <font>
      <sz val="10"/>
      <color rgb="FF66666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666666"/>
      <name val="맑은 고딕"/>
      <family val="3"/>
      <charset val="129"/>
    </font>
    <font>
      <b/>
      <sz val="9"/>
      <color rgb="FF111111"/>
      <name val="Noto Sans CJK SC"/>
      <family val="2"/>
    </font>
    <font>
      <b/>
      <sz val="9"/>
      <color rgb="FF111111"/>
      <name val="맑은 고딕"/>
      <family val="3"/>
      <charset val="129"/>
    </font>
    <font>
      <sz val="9"/>
      <color rgb="FF111111"/>
      <name val="Noto Sans CJK SC"/>
      <family val="2"/>
    </font>
    <font>
      <sz val="9"/>
      <color rgb="FF111111"/>
      <name val="맑은 고딕"/>
      <family val="3"/>
      <charset val="129"/>
    </font>
    <font>
      <b/>
      <sz val="9"/>
      <color rgb="FFFFFFFF"/>
      <name val="Noto Sans CJK SC"/>
      <family val="2"/>
    </font>
    <font>
      <i/>
      <sz val="9"/>
      <color rgb="FFFFFFFF"/>
      <name val="Noto Sans CJK SC"/>
      <family val="2"/>
    </font>
    <font>
      <i/>
      <sz val="9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i/>
      <sz val="8"/>
      <color rgb="FF666666"/>
      <name val="Noto Sans CJK SC"/>
      <family val="2"/>
    </font>
    <font>
      <b/>
      <sz val="13"/>
      <color rgb="FFFFFFFF"/>
      <name val="Noto Sans CJK SC"/>
      <family val="2"/>
    </font>
    <font>
      <b/>
      <sz val="13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FFFFFF"/>
      <name val="넥슨Lv1고딕 Bold"/>
      <family val="3"/>
      <charset val="129"/>
    </font>
    <font>
      <sz val="8"/>
      <name val="돋움"/>
      <family val="3"/>
      <charset val="129"/>
    </font>
    <font>
      <b/>
      <sz val="18"/>
      <color rgb="FFFFFFFF"/>
      <name val="넥슨Lv2고딕 Bold"/>
      <family val="3"/>
      <charset val="129"/>
    </font>
    <font>
      <b/>
      <sz val="14"/>
      <color rgb="FFFFFFFF"/>
      <name val="넥슨Lv1고딕 OTF Bold"/>
      <family val="3"/>
      <charset val="129"/>
    </font>
    <font>
      <sz val="14"/>
      <color theme="1"/>
      <name val="넥슨Lv1고딕 OTF Bold"/>
      <family val="3"/>
      <charset val="129"/>
    </font>
    <font>
      <sz val="11"/>
      <color theme="1"/>
      <name val="넥슨Lv2고딕 Medium"/>
      <family val="3"/>
      <charset val="129"/>
    </font>
    <font>
      <b/>
      <sz val="12"/>
      <color rgb="FFFFFFFF"/>
      <name val="넥슨Lv2고딕 Medium"/>
      <family val="3"/>
      <charset val="129"/>
    </font>
    <font>
      <sz val="12"/>
      <color theme="1"/>
      <name val="넥슨Lv2고딕 Medium"/>
      <family val="3"/>
      <charset val="129"/>
    </font>
    <font>
      <b/>
      <sz val="12"/>
      <color rgb="FF111111"/>
      <name val="넥슨Lv2고딕 Medium"/>
      <family val="3"/>
      <charset val="129"/>
    </font>
    <font>
      <sz val="12"/>
      <color theme="1"/>
      <name val="Calibri"/>
      <family val="2"/>
      <charset val="1"/>
    </font>
    <font>
      <b/>
      <sz val="12"/>
      <color rgb="FF111111"/>
      <name val="넥슨Lv1고딕 OTF"/>
      <family val="3"/>
      <charset val="129"/>
    </font>
    <font>
      <sz val="12"/>
      <color rgb="FF111111"/>
      <name val="넥슨Lv1고딕 OTF"/>
      <family val="3"/>
      <charset val="129"/>
    </font>
    <font>
      <b/>
      <sz val="12"/>
      <color rgb="FF111111"/>
      <name val="넥슨Lv2고딕 OTF"/>
      <family val="3"/>
      <charset val="129"/>
    </font>
    <font>
      <sz val="12"/>
      <color rgb="FF111111"/>
      <name val="넥슨Lv2고딕 OTF"/>
      <family val="3"/>
      <charset val="129"/>
    </font>
    <font>
      <b/>
      <sz val="12"/>
      <color rgb="FF111111"/>
      <name val="넥슨Lv2고딕 OTF Medium"/>
      <family val="3"/>
      <charset val="129"/>
    </font>
    <font>
      <sz val="14"/>
      <color rgb="FF666666"/>
      <name val="넥슨Lv2고딕 OTF Bold"/>
      <family val="3"/>
      <charset val="129"/>
    </font>
    <font>
      <sz val="14"/>
      <color theme="1"/>
      <name val="넥슨Lv2고딕 OTF Bold"/>
      <family val="3"/>
      <charset val="129"/>
    </font>
    <font>
      <sz val="11"/>
      <color rgb="FF0070C0"/>
      <name val="넥슨Lv2고딕 Light"/>
      <family val="3"/>
      <charset val="129"/>
    </font>
    <font>
      <b/>
      <sz val="11"/>
      <color rgb="FF0070C0"/>
      <name val="넥슨Lv2고딕 Light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4F4F4"/>
        <bgColor rgb="FFFFFFFF"/>
      </patternFill>
    </fill>
    <fill>
      <patternFill patternType="solid">
        <fgColor rgb="FFE8E8E8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1" tint="0.14999847407452621"/>
        <bgColor rgb="FF000000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4" fillId="2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0" fillId="2" borderId="0" xfId="0" applyFill="1"/>
    <xf numFmtId="0" fontId="1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76" fontId="17" fillId="2" borderId="0" xfId="0" applyNumberFormat="1" applyFont="1" applyFill="1" applyAlignment="1">
      <alignment horizontal="center" vertical="center"/>
    </xf>
    <xf numFmtId="0" fontId="22" fillId="0" borderId="0" xfId="0" applyFont="1"/>
    <xf numFmtId="0" fontId="23" fillId="0" borderId="0" xfId="0" applyFont="1"/>
    <xf numFmtId="0" fontId="25" fillId="0" borderId="0" xfId="0" applyFont="1"/>
    <xf numFmtId="0" fontId="27" fillId="0" borderId="0" xfId="0" applyFont="1"/>
    <xf numFmtId="0" fontId="34" fillId="0" borderId="0" xfId="0" applyFont="1"/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left" vertical="center"/>
    </xf>
    <xf numFmtId="0" fontId="33" fillId="3" borderId="7" xfId="0" applyFont="1" applyFill="1" applyBorder="1" applyAlignment="1">
      <alignment horizontal="left" vertical="center"/>
    </xf>
    <xf numFmtId="0" fontId="33" fillId="3" borderId="8" xfId="0" applyFont="1" applyFill="1" applyBorder="1" applyAlignment="1">
      <alignment horizontal="left" vertical="center"/>
    </xf>
    <xf numFmtId="0" fontId="21" fillId="7" borderId="6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0" fontId="24" fillId="6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 wrapText="1"/>
    </xf>
    <xf numFmtId="0" fontId="30" fillId="5" borderId="7" xfId="0" applyFont="1" applyFill="1" applyBorder="1" applyAlignment="1">
      <alignment horizontal="center" vertical="center"/>
    </xf>
    <xf numFmtId="0" fontId="31" fillId="5" borderId="7" xfId="0" applyFont="1" applyFill="1" applyBorder="1" applyAlignment="1">
      <alignment horizontal="left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/>
    <xf numFmtId="0" fontId="4" fillId="3" borderId="6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/>
    <xf numFmtId="0" fontId="28" fillId="5" borderId="7" xfId="0" applyFont="1" applyFill="1" applyBorder="1" applyAlignment="1">
      <alignment horizontal="center" vertical="center"/>
    </xf>
    <xf numFmtId="0" fontId="29" fillId="5" borderId="7" xfId="0" applyFont="1" applyFill="1" applyBorder="1" applyAlignment="1">
      <alignment horizontal="left" vertical="center" wrapText="1"/>
    </xf>
    <xf numFmtId="0" fontId="28" fillId="3" borderId="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left" vertical="center" wrapText="1"/>
    </xf>
    <xf numFmtId="0" fontId="32" fillId="4" borderId="7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left" vertical="center"/>
    </xf>
    <xf numFmtId="176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/>
    <xf numFmtId="0" fontId="35" fillId="0" borderId="0" xfId="0" applyFont="1"/>
    <xf numFmtId="0" fontId="36" fillId="4" borderId="6" xfId="0" applyFont="1" applyFill="1" applyBorder="1" applyAlignment="1">
      <alignment horizontal="left" vertical="center"/>
    </xf>
    <xf numFmtId="0" fontId="36" fillId="4" borderId="7" xfId="0" applyFont="1" applyFill="1" applyBorder="1" applyAlignment="1">
      <alignment horizontal="left" vertical="center"/>
    </xf>
    <xf numFmtId="0" fontId="36" fillId="4" borderId="8" xfId="0" applyFont="1" applyFill="1" applyBorder="1" applyAlignment="1">
      <alignment horizontal="left" vertical="center"/>
    </xf>
    <xf numFmtId="0" fontId="3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4F4F4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B276-9551-47E2-9DE3-697F7B12A561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A3" sqref="A3:XFD3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A3" sqref="A3:XFD3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B46:B49"/>
    <mergeCell ref="A50:J50"/>
    <mergeCell ref="B51:B54"/>
    <mergeCell ref="A55:C55"/>
    <mergeCell ref="A56:J56"/>
    <mergeCell ref="A35:J35"/>
    <mergeCell ref="B36:B39"/>
    <mergeCell ref="A40:J40"/>
    <mergeCell ref="B41:B44"/>
    <mergeCell ref="A45:J45"/>
    <mergeCell ref="B21:B24"/>
    <mergeCell ref="A25:J25"/>
    <mergeCell ref="B26:B29"/>
    <mergeCell ref="A30:J30"/>
    <mergeCell ref="B31:B34"/>
    <mergeCell ref="A10:J10"/>
    <mergeCell ref="B11:B14"/>
    <mergeCell ref="A15:J15"/>
    <mergeCell ref="B16:B19"/>
    <mergeCell ref="A20:J20"/>
    <mergeCell ref="A1:J1"/>
    <mergeCell ref="A2:J2"/>
    <mergeCell ref="A3:J3"/>
    <mergeCell ref="A5:J5"/>
    <mergeCell ref="B6:B9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zoomScaleNormal="100" workbookViewId="0">
      <pane ySplit="3" topLeftCell="A4" activePane="bottomLeft" state="frozen"/>
      <selection pane="bottomLeft" sqref="A1:H1"/>
    </sheetView>
  </sheetViews>
  <sheetFormatPr defaultColWidth="8.6328125" defaultRowHeight="14.5"/>
  <cols>
    <col min="1" max="1" width="6" customWidth="1"/>
    <col min="2" max="2" width="18" customWidth="1"/>
    <col min="3" max="3" width="38" customWidth="1"/>
    <col min="4" max="4" width="22" customWidth="1"/>
    <col min="5" max="5" width="12" customWidth="1"/>
    <col min="6" max="6" width="14" customWidth="1"/>
    <col min="7" max="7" width="12" customWidth="1"/>
    <col min="8" max="8" width="34" customWidth="1"/>
  </cols>
  <sheetData>
    <row r="1" spans="1:8" ht="30" customHeight="1">
      <c r="A1" s="1" t="s">
        <v>8</v>
      </c>
      <c r="B1" s="1"/>
      <c r="C1" s="1"/>
      <c r="D1" s="1"/>
      <c r="E1" s="1"/>
      <c r="F1" s="1"/>
      <c r="G1" s="1"/>
      <c r="H1" s="1"/>
    </row>
    <row r="2" spans="1:8" ht="21.75" customHeight="1">
      <c r="A2" s="4" t="s">
        <v>9</v>
      </c>
      <c r="B2" s="4"/>
      <c r="C2" s="4"/>
      <c r="D2" s="4"/>
      <c r="E2" s="4"/>
      <c r="F2" s="4"/>
      <c r="G2" s="4"/>
      <c r="H2" s="4"/>
    </row>
    <row r="3" spans="1:8" ht="30" customHeight="1">
      <c r="A3" s="9" t="s">
        <v>0</v>
      </c>
      <c r="B3" s="10" t="s">
        <v>10</v>
      </c>
      <c r="C3" s="10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10" t="s">
        <v>16</v>
      </c>
    </row>
    <row r="4" spans="1:8" ht="48" customHeight="1">
      <c r="A4" s="11" t="s">
        <v>17</v>
      </c>
      <c r="B4" s="12" t="s">
        <v>18</v>
      </c>
      <c r="C4" s="5" t="s">
        <v>19</v>
      </c>
      <c r="D4" s="5" t="s">
        <v>20</v>
      </c>
      <c r="E4" s="12"/>
      <c r="F4" s="12"/>
      <c r="G4" s="12"/>
      <c r="H4" s="5"/>
    </row>
    <row r="5" spans="1:8" ht="48" customHeight="1">
      <c r="A5" s="13" t="s">
        <v>21</v>
      </c>
      <c r="B5" s="14" t="s">
        <v>22</v>
      </c>
      <c r="C5" s="6" t="s">
        <v>23</v>
      </c>
      <c r="D5" s="6" t="s">
        <v>24</v>
      </c>
      <c r="E5" s="14"/>
      <c r="F5" s="14"/>
      <c r="G5" s="14"/>
      <c r="H5" s="6"/>
    </row>
    <row r="6" spans="1:8" ht="48" customHeight="1">
      <c r="A6" s="11" t="s">
        <v>25</v>
      </c>
      <c r="B6" s="12" t="s">
        <v>26</v>
      </c>
      <c r="C6" s="7" t="s">
        <v>27</v>
      </c>
      <c r="D6" s="5" t="s">
        <v>28</v>
      </c>
      <c r="E6" s="12"/>
      <c r="F6" s="12"/>
      <c r="G6" s="12"/>
      <c r="H6" s="5"/>
    </row>
    <row r="7" spans="1:8" ht="48" customHeight="1">
      <c r="A7" s="13" t="s">
        <v>29</v>
      </c>
      <c r="B7" s="14" t="s">
        <v>30</v>
      </c>
      <c r="C7" s="6" t="s">
        <v>31</v>
      </c>
      <c r="D7" s="6" t="s">
        <v>32</v>
      </c>
      <c r="E7" s="14"/>
      <c r="F7" s="14"/>
      <c r="G7" s="14"/>
      <c r="H7" s="6"/>
    </row>
    <row r="8" spans="1:8" ht="48" customHeight="1">
      <c r="A8" s="11" t="s">
        <v>33</v>
      </c>
      <c r="B8" s="12" t="s">
        <v>34</v>
      </c>
      <c r="C8" s="5" t="s">
        <v>35</v>
      </c>
      <c r="D8" s="5" t="s">
        <v>36</v>
      </c>
      <c r="E8" s="12"/>
      <c r="F8" s="12"/>
      <c r="G8" s="12"/>
      <c r="H8" s="5"/>
    </row>
    <row r="9" spans="1:8" ht="48" customHeight="1">
      <c r="A9" s="13" t="s">
        <v>37</v>
      </c>
      <c r="B9" s="14" t="s">
        <v>38</v>
      </c>
      <c r="C9" s="6" t="s">
        <v>39</v>
      </c>
      <c r="D9" s="6" t="s">
        <v>40</v>
      </c>
      <c r="E9" s="14"/>
      <c r="F9" s="14"/>
      <c r="G9" s="14"/>
      <c r="H9" s="6"/>
    </row>
    <row r="10" spans="1:8" ht="48" customHeight="1">
      <c r="A10" s="11" t="s">
        <v>41</v>
      </c>
      <c r="B10" s="12" t="s">
        <v>42</v>
      </c>
      <c r="C10" s="5" t="s">
        <v>43</v>
      </c>
      <c r="D10" s="5" t="s">
        <v>44</v>
      </c>
      <c r="E10" s="12"/>
      <c r="F10" s="12"/>
      <c r="G10" s="12"/>
      <c r="H10" s="5"/>
    </row>
    <row r="11" spans="1:8" ht="48" customHeight="1">
      <c r="A11" s="13" t="s">
        <v>45</v>
      </c>
      <c r="B11" s="14" t="s">
        <v>46</v>
      </c>
      <c r="C11" s="6" t="s">
        <v>47</v>
      </c>
      <c r="D11" s="6" t="s">
        <v>48</v>
      </c>
      <c r="E11" s="14"/>
      <c r="F11" s="14"/>
      <c r="G11" s="14"/>
      <c r="H11" s="6"/>
    </row>
    <row r="12" spans="1:8" ht="48" customHeight="1">
      <c r="A12" s="11" t="s">
        <v>49</v>
      </c>
      <c r="B12" s="12" t="s">
        <v>50</v>
      </c>
      <c r="C12" s="5" t="s">
        <v>51</v>
      </c>
      <c r="D12" s="5" t="s">
        <v>52</v>
      </c>
      <c r="E12" s="12"/>
      <c r="F12" s="12"/>
      <c r="G12" s="12"/>
      <c r="H12" s="5"/>
    </row>
    <row r="13" spans="1:8" ht="48" customHeight="1">
      <c r="A13" s="13" t="s">
        <v>53</v>
      </c>
      <c r="B13" s="14" t="s">
        <v>54</v>
      </c>
      <c r="C13" s="6" t="s">
        <v>55</v>
      </c>
      <c r="D13" s="6" t="s">
        <v>56</v>
      </c>
      <c r="E13" s="14"/>
      <c r="F13" s="14"/>
      <c r="G13" s="14"/>
      <c r="H13" s="6"/>
    </row>
    <row r="14" spans="1:8" ht="21.75" customHeight="1">
      <c r="A14" s="3" t="s">
        <v>57</v>
      </c>
      <c r="B14" s="3"/>
      <c r="C14" s="3"/>
      <c r="D14" s="3"/>
      <c r="E14" s="15" t="str">
        <f>IFERROR(AVERAGE(E4:E13),"-")</f>
        <v>-</v>
      </c>
      <c r="F14" s="15" t="str">
        <f>COUNTIF(F4:F13,"O")&amp;"/"&amp;COUNTA(F4:F13)</f>
        <v>0/0</v>
      </c>
      <c r="G14" s="15">
        <f>IFERROR(SUM(G4:G13),"-")</f>
        <v>0</v>
      </c>
      <c r="H14" s="8"/>
    </row>
  </sheetData>
  <mergeCells count="3">
    <mergeCell ref="A1:H1"/>
    <mergeCell ref="A2:H2"/>
    <mergeCell ref="A14:D1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EDA6-90DE-49CF-B197-C387395AE6AE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A3" sqref="A3:XFD3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ED73-356B-4CB1-80E4-3991FC5D29DF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A3" sqref="A3:XFD3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AFE4-9C0D-4A64-9877-049817EEB9EA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A3" sqref="A3:XFD3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685A-E143-4220-8C91-EE4FC9E01CDA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A3" sqref="A3:XFD3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4E79-9EE2-4040-81F4-4FBB621BEC8D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A3" sqref="A3:XFD3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5EEC-299F-4463-B31F-E408CB0A9F89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N6" sqref="N6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57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36C8-89C1-481D-A8EA-BBC42151C347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P16" sqref="P16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58602-AB07-4835-9C81-168E81BCEC46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Q14" sqref="Q14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3ACD-1293-49AF-9932-2E4CCF50CF6A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N17" sqref="N17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04C1-2F14-408F-9214-70162898E1F7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Q13" sqref="Q13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0133-D3FA-4820-89EB-E025DC934CD7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R16" sqref="R16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F07C-233B-4820-8874-9B0F04DFEEC4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P17" sqref="P17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B13C-F59F-4561-B548-BE9187C24BBE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R17" sqref="R17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5316-0A86-4F84-A4EB-A5071142B9A1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M17" sqref="M17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428C-8774-4518-BE80-AEA503551AF3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M18" sqref="M18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4A32-CE8E-449F-AF7B-B0C91FB5CB4A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L13" sqref="L13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38B9-A26E-40A0-9C64-90F7F9B3527E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M17" sqref="M17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AAA7-0DAF-47AE-9803-E0FC1E6FB659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M14" sqref="M14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E057-A737-4ECF-9934-959F60757820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M18" sqref="M18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BAE7-DAAB-4C64-A04F-1CCF3D926A6A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L13" sqref="L13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B015-5834-4C21-AB43-A8B98D147AA8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O15" sqref="O15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A47D-A7DC-4FC1-8F78-373F83375574}">
  <sheetPr>
    <pageSetUpPr fitToPage="1"/>
  </sheetPr>
  <dimension ref="A1:J56"/>
  <sheetViews>
    <sheetView zoomScaleNormal="100" workbookViewId="0">
      <pane ySplit="4" topLeftCell="A5" activePane="bottomLeft" state="frozen"/>
      <selection pane="bottomLeft" activeCell="M18" sqref="M18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9066-8C25-4F3C-AA7E-EC33897E9A40}">
  <sheetPr>
    <pageSetUpPr fitToPage="1"/>
  </sheetPr>
  <dimension ref="A1:J56"/>
  <sheetViews>
    <sheetView tabSelected="1" zoomScaleNormal="100" workbookViewId="0">
      <pane ySplit="4" topLeftCell="A5" activePane="bottomLeft" state="frozen"/>
      <selection pane="bottomLeft" activeCell="M18" sqref="M18"/>
    </sheetView>
  </sheetViews>
  <sheetFormatPr defaultColWidth="8.6328125" defaultRowHeight="14.5"/>
  <cols>
    <col min="1" max="1" width="5" customWidth="1"/>
    <col min="2" max="2" width="52.54296875" customWidth="1"/>
    <col min="3" max="3" width="11" customWidth="1"/>
    <col min="4" max="4" width="82.6328125" customWidth="1"/>
    <col min="5" max="9" width="9" customWidth="1"/>
    <col min="10" max="10" width="23.453125" customWidth="1"/>
  </cols>
  <sheetData>
    <row r="1" spans="1:10" ht="56" customHeight="1" thickTop="1">
      <c r="A1" s="24" t="s">
        <v>77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s="23" customFormat="1" ht="52.5" customHeight="1">
      <c r="A2" s="27" t="s">
        <v>146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s="61" customFormat="1" ht="34" customHeight="1">
      <c r="A3" s="58" t="s">
        <v>78</v>
      </c>
      <c r="B3" s="59"/>
      <c r="C3" s="59"/>
      <c r="D3" s="59"/>
      <c r="E3" s="59"/>
      <c r="F3" s="59"/>
      <c r="G3" s="59"/>
      <c r="H3" s="59"/>
      <c r="I3" s="59"/>
      <c r="J3" s="60"/>
    </row>
    <row r="4" spans="1:10" s="19" customFormat="1" ht="36" customHeight="1">
      <c r="A4" s="30" t="s">
        <v>0</v>
      </c>
      <c r="B4" s="31" t="s">
        <v>1</v>
      </c>
      <c r="C4" s="31" t="s">
        <v>2</v>
      </c>
      <c r="D4" s="31" t="s">
        <v>79</v>
      </c>
      <c r="E4" s="31" t="s">
        <v>80</v>
      </c>
      <c r="F4" s="31" t="s">
        <v>81</v>
      </c>
      <c r="G4" s="31" t="s">
        <v>82</v>
      </c>
      <c r="H4" s="31" t="s">
        <v>83</v>
      </c>
      <c r="I4" s="31" t="s">
        <v>84</v>
      </c>
      <c r="J4" s="32" t="s">
        <v>85</v>
      </c>
    </row>
    <row r="5" spans="1:10" s="20" customFormat="1" ht="30" customHeight="1">
      <c r="A5" s="33" t="s">
        <v>86</v>
      </c>
      <c r="B5" s="34"/>
      <c r="C5" s="34"/>
      <c r="D5" s="34"/>
      <c r="E5" s="34"/>
      <c r="F5" s="34"/>
      <c r="G5" s="34"/>
      <c r="H5" s="34"/>
      <c r="I5" s="34"/>
      <c r="J5" s="35"/>
    </row>
    <row r="6" spans="1:10" ht="48" customHeight="1">
      <c r="A6" s="36">
        <v>1</v>
      </c>
      <c r="B6" s="37" t="s">
        <v>87</v>
      </c>
      <c r="C6" s="38" t="s">
        <v>3</v>
      </c>
      <c r="D6" s="39" t="s">
        <v>88</v>
      </c>
      <c r="E6" s="40"/>
      <c r="F6" s="40"/>
      <c r="G6" s="40"/>
      <c r="H6" s="40"/>
      <c r="I6" s="40"/>
      <c r="J6" s="41"/>
    </row>
    <row r="7" spans="1:10" ht="48" customHeight="1">
      <c r="A7" s="42">
        <v>2</v>
      </c>
      <c r="B7" s="37"/>
      <c r="C7" s="43" t="s">
        <v>3</v>
      </c>
      <c r="D7" s="44" t="s">
        <v>89</v>
      </c>
      <c r="E7" s="45"/>
      <c r="F7" s="45"/>
      <c r="G7" s="45"/>
      <c r="H7" s="45"/>
      <c r="I7" s="45"/>
      <c r="J7" s="46"/>
    </row>
    <row r="8" spans="1:10" ht="48" customHeight="1">
      <c r="A8" s="36">
        <v>3</v>
      </c>
      <c r="B8" s="37"/>
      <c r="C8" s="38" t="s">
        <v>3</v>
      </c>
      <c r="D8" s="39" t="s">
        <v>90</v>
      </c>
      <c r="E8" s="40"/>
      <c r="F8" s="40"/>
      <c r="G8" s="40"/>
      <c r="H8" s="40"/>
      <c r="I8" s="40"/>
      <c r="J8" s="41"/>
    </row>
    <row r="9" spans="1:10" ht="48" customHeight="1">
      <c r="A9" s="42">
        <v>4</v>
      </c>
      <c r="B9" s="37"/>
      <c r="C9" s="43" t="s">
        <v>3</v>
      </c>
      <c r="D9" s="44" t="s">
        <v>91</v>
      </c>
      <c r="E9" s="45"/>
      <c r="F9" s="45"/>
      <c r="G9" s="45"/>
      <c r="H9" s="45"/>
      <c r="I9" s="45"/>
      <c r="J9" s="46"/>
    </row>
    <row r="10" spans="1:10" s="21" customFormat="1" ht="30" customHeight="1">
      <c r="A10" s="33" t="s">
        <v>92</v>
      </c>
      <c r="B10" s="34"/>
      <c r="C10" s="34"/>
      <c r="D10" s="34"/>
      <c r="E10" s="34"/>
      <c r="F10" s="34"/>
      <c r="G10" s="34"/>
      <c r="H10" s="34"/>
      <c r="I10" s="34"/>
      <c r="J10" s="35"/>
    </row>
    <row r="11" spans="1:10" ht="48" customHeight="1">
      <c r="A11" s="36">
        <v>5</v>
      </c>
      <c r="B11" s="37" t="s">
        <v>93</v>
      </c>
      <c r="C11" s="47" t="s">
        <v>3</v>
      </c>
      <c r="D11" s="48" t="s">
        <v>94</v>
      </c>
      <c r="E11" s="40"/>
      <c r="F11" s="40"/>
      <c r="G11" s="40"/>
      <c r="H11" s="40"/>
      <c r="I11" s="40"/>
      <c r="J11" s="41"/>
    </row>
    <row r="12" spans="1:10" ht="48" customHeight="1">
      <c r="A12" s="42">
        <v>6</v>
      </c>
      <c r="B12" s="37"/>
      <c r="C12" s="49" t="s">
        <v>3</v>
      </c>
      <c r="D12" s="50" t="s">
        <v>95</v>
      </c>
      <c r="E12" s="45"/>
      <c r="F12" s="45"/>
      <c r="G12" s="45"/>
      <c r="H12" s="45"/>
      <c r="I12" s="45"/>
      <c r="J12" s="46"/>
    </row>
    <row r="13" spans="1:10" ht="48" customHeight="1">
      <c r="A13" s="36">
        <v>7</v>
      </c>
      <c r="B13" s="37"/>
      <c r="C13" s="47" t="s">
        <v>3</v>
      </c>
      <c r="D13" s="48" t="s">
        <v>96</v>
      </c>
      <c r="E13" s="40"/>
      <c r="F13" s="40"/>
      <c r="G13" s="40"/>
      <c r="H13" s="40"/>
      <c r="I13" s="40"/>
      <c r="J13" s="41"/>
    </row>
    <row r="14" spans="1:10" ht="48" customHeight="1">
      <c r="A14" s="42">
        <v>8</v>
      </c>
      <c r="B14" s="37"/>
      <c r="C14" s="49" t="s">
        <v>3</v>
      </c>
      <c r="D14" s="50" t="s">
        <v>97</v>
      </c>
      <c r="E14" s="45"/>
      <c r="F14" s="45"/>
      <c r="G14" s="45"/>
      <c r="H14" s="45"/>
      <c r="I14" s="45"/>
      <c r="J14" s="46"/>
    </row>
    <row r="15" spans="1:10" s="21" customFormat="1" ht="30" customHeight="1">
      <c r="A15" s="33" t="s">
        <v>98</v>
      </c>
      <c r="B15" s="34"/>
      <c r="C15" s="34"/>
      <c r="D15" s="34"/>
      <c r="E15" s="34"/>
      <c r="F15" s="34"/>
      <c r="G15" s="34"/>
      <c r="H15" s="34"/>
      <c r="I15" s="34"/>
      <c r="J15" s="35"/>
    </row>
    <row r="16" spans="1:10" ht="48" customHeight="1">
      <c r="A16" s="36">
        <v>9</v>
      </c>
      <c r="B16" s="37" t="s">
        <v>99</v>
      </c>
      <c r="C16" s="38" t="s">
        <v>3</v>
      </c>
      <c r="D16" s="39" t="s">
        <v>100</v>
      </c>
      <c r="E16" s="40"/>
      <c r="F16" s="40"/>
      <c r="G16" s="40"/>
      <c r="H16" s="40"/>
      <c r="I16" s="40"/>
      <c r="J16" s="41"/>
    </row>
    <row r="17" spans="1:10" ht="48" customHeight="1">
      <c r="A17" s="42">
        <v>10</v>
      </c>
      <c r="B17" s="37"/>
      <c r="C17" s="43" t="s">
        <v>3</v>
      </c>
      <c r="D17" s="44" t="s">
        <v>101</v>
      </c>
      <c r="E17" s="45"/>
      <c r="F17" s="45"/>
      <c r="G17" s="45"/>
      <c r="H17" s="45"/>
      <c r="I17" s="45"/>
      <c r="J17" s="46"/>
    </row>
    <row r="18" spans="1:10" ht="48" customHeight="1">
      <c r="A18" s="36">
        <v>11</v>
      </c>
      <c r="B18" s="37"/>
      <c r="C18" s="38" t="s">
        <v>3</v>
      </c>
      <c r="D18" s="39" t="s">
        <v>102</v>
      </c>
      <c r="E18" s="40"/>
      <c r="F18" s="40"/>
      <c r="G18" s="40"/>
      <c r="H18" s="40"/>
      <c r="I18" s="40"/>
      <c r="J18" s="41"/>
    </row>
    <row r="19" spans="1:10" ht="48" customHeight="1">
      <c r="A19" s="42">
        <v>12</v>
      </c>
      <c r="B19" s="37"/>
      <c r="C19" s="43" t="s">
        <v>3</v>
      </c>
      <c r="D19" s="44" t="s">
        <v>103</v>
      </c>
      <c r="E19" s="45"/>
      <c r="F19" s="45"/>
      <c r="G19" s="45"/>
      <c r="H19" s="45"/>
      <c r="I19" s="45"/>
      <c r="J19" s="46"/>
    </row>
    <row r="20" spans="1:10" s="22" customFormat="1" ht="30" customHeight="1">
      <c r="A20" s="33" t="s">
        <v>104</v>
      </c>
      <c r="B20" s="34"/>
      <c r="C20" s="34"/>
      <c r="D20" s="34"/>
      <c r="E20" s="34"/>
      <c r="F20" s="34"/>
      <c r="G20" s="34"/>
      <c r="H20" s="34"/>
      <c r="I20" s="34"/>
      <c r="J20" s="35"/>
    </row>
    <row r="21" spans="1:10" ht="48" customHeight="1">
      <c r="A21" s="36">
        <v>13</v>
      </c>
      <c r="B21" s="51" t="s">
        <v>105</v>
      </c>
      <c r="C21" s="47" t="s">
        <v>4</v>
      </c>
      <c r="D21" s="48" t="s">
        <v>106</v>
      </c>
      <c r="E21" s="40"/>
      <c r="F21" s="40"/>
      <c r="G21" s="40"/>
      <c r="H21" s="40"/>
      <c r="I21" s="40"/>
      <c r="J21" s="41"/>
    </row>
    <row r="22" spans="1:10" ht="48" customHeight="1">
      <c r="A22" s="42">
        <v>14</v>
      </c>
      <c r="B22" s="51"/>
      <c r="C22" s="49" t="s">
        <v>4</v>
      </c>
      <c r="D22" s="50" t="s">
        <v>107</v>
      </c>
      <c r="E22" s="45"/>
      <c r="F22" s="45"/>
      <c r="G22" s="45"/>
      <c r="H22" s="45"/>
      <c r="I22" s="45"/>
      <c r="J22" s="46"/>
    </row>
    <row r="23" spans="1:10" ht="48" customHeight="1">
      <c r="A23" s="36">
        <v>15</v>
      </c>
      <c r="B23" s="51"/>
      <c r="C23" s="47" t="s">
        <v>4</v>
      </c>
      <c r="D23" s="48" t="s">
        <v>108</v>
      </c>
      <c r="E23" s="40"/>
      <c r="F23" s="40"/>
      <c r="G23" s="40"/>
      <c r="H23" s="40"/>
      <c r="I23" s="40"/>
      <c r="J23" s="41"/>
    </row>
    <row r="24" spans="1:10" ht="48" customHeight="1">
      <c r="A24" s="42">
        <v>16</v>
      </c>
      <c r="B24" s="51"/>
      <c r="C24" s="49" t="s">
        <v>4</v>
      </c>
      <c r="D24" s="50" t="s">
        <v>109</v>
      </c>
      <c r="E24" s="45"/>
      <c r="F24" s="45"/>
      <c r="G24" s="45"/>
      <c r="H24" s="45"/>
      <c r="I24" s="45"/>
      <c r="J24" s="46"/>
    </row>
    <row r="25" spans="1:10" s="21" customFormat="1" ht="30" customHeight="1">
      <c r="A25" s="33" t="s">
        <v>110</v>
      </c>
      <c r="B25" s="34"/>
      <c r="C25" s="34"/>
      <c r="D25" s="34"/>
      <c r="E25" s="34"/>
      <c r="F25" s="34"/>
      <c r="G25" s="34"/>
      <c r="H25" s="34"/>
      <c r="I25" s="34"/>
      <c r="J25" s="35"/>
    </row>
    <row r="26" spans="1:10" ht="48" customHeight="1">
      <c r="A26" s="36">
        <v>17</v>
      </c>
      <c r="B26" s="37" t="s">
        <v>111</v>
      </c>
      <c r="C26" s="47" t="s">
        <v>3</v>
      </c>
      <c r="D26" s="48" t="s">
        <v>112</v>
      </c>
      <c r="E26" s="40"/>
      <c r="F26" s="40"/>
      <c r="G26" s="40"/>
      <c r="H26" s="40"/>
      <c r="I26" s="40"/>
      <c r="J26" s="41"/>
    </row>
    <row r="27" spans="1:10" ht="48" customHeight="1">
      <c r="A27" s="42">
        <v>18</v>
      </c>
      <c r="B27" s="37"/>
      <c r="C27" s="49" t="s">
        <v>3</v>
      </c>
      <c r="D27" s="50" t="s">
        <v>113</v>
      </c>
      <c r="E27" s="45"/>
      <c r="F27" s="45"/>
      <c r="G27" s="45"/>
      <c r="H27" s="45"/>
      <c r="I27" s="45"/>
      <c r="J27" s="46"/>
    </row>
    <row r="28" spans="1:10" ht="48" customHeight="1">
      <c r="A28" s="36">
        <v>19</v>
      </c>
      <c r="B28" s="37"/>
      <c r="C28" s="47" t="s">
        <v>3</v>
      </c>
      <c r="D28" s="48" t="s">
        <v>114</v>
      </c>
      <c r="E28" s="40"/>
      <c r="F28" s="40"/>
      <c r="G28" s="40"/>
      <c r="H28" s="40"/>
      <c r="I28" s="40"/>
      <c r="J28" s="41"/>
    </row>
    <row r="29" spans="1:10" ht="48" customHeight="1">
      <c r="A29" s="42">
        <v>20</v>
      </c>
      <c r="B29" s="37"/>
      <c r="C29" s="49" t="s">
        <v>3</v>
      </c>
      <c r="D29" s="50" t="s">
        <v>115</v>
      </c>
      <c r="E29" s="45"/>
      <c r="F29" s="45"/>
      <c r="G29" s="45"/>
      <c r="H29" s="45"/>
      <c r="I29" s="45"/>
      <c r="J29" s="46"/>
    </row>
    <row r="30" spans="1:10" s="21" customFormat="1" ht="30" customHeight="1">
      <c r="A30" s="33" t="s">
        <v>116</v>
      </c>
      <c r="B30" s="34"/>
      <c r="C30" s="34"/>
      <c r="D30" s="34"/>
      <c r="E30" s="34"/>
      <c r="F30" s="34"/>
      <c r="G30" s="34"/>
      <c r="H30" s="34"/>
      <c r="I30" s="34"/>
      <c r="J30" s="35"/>
    </row>
    <row r="31" spans="1:10" ht="48" customHeight="1">
      <c r="A31" s="36">
        <v>21</v>
      </c>
      <c r="B31" s="37" t="s">
        <v>117</v>
      </c>
      <c r="C31" s="47" t="s">
        <v>4</v>
      </c>
      <c r="D31" s="48" t="s">
        <v>118</v>
      </c>
      <c r="E31" s="40"/>
      <c r="F31" s="40"/>
      <c r="G31" s="40"/>
      <c r="H31" s="40"/>
      <c r="I31" s="40"/>
      <c r="J31" s="41"/>
    </row>
    <row r="32" spans="1:10" ht="48" customHeight="1">
      <c r="A32" s="42">
        <v>22</v>
      </c>
      <c r="B32" s="37"/>
      <c r="C32" s="49" t="s">
        <v>4</v>
      </c>
      <c r="D32" s="50" t="s">
        <v>119</v>
      </c>
      <c r="E32" s="45"/>
      <c r="F32" s="45"/>
      <c r="G32" s="45"/>
      <c r="H32" s="45"/>
      <c r="I32" s="45"/>
      <c r="J32" s="46"/>
    </row>
    <row r="33" spans="1:10" ht="48" customHeight="1">
      <c r="A33" s="36">
        <v>23</v>
      </c>
      <c r="B33" s="37"/>
      <c r="C33" s="47" t="s">
        <v>4</v>
      </c>
      <c r="D33" s="48" t="s">
        <v>120</v>
      </c>
      <c r="E33" s="40"/>
      <c r="F33" s="40"/>
      <c r="G33" s="40"/>
      <c r="H33" s="40"/>
      <c r="I33" s="40"/>
      <c r="J33" s="41"/>
    </row>
    <row r="34" spans="1:10" ht="48" customHeight="1">
      <c r="A34" s="42">
        <v>24</v>
      </c>
      <c r="B34" s="37"/>
      <c r="C34" s="49" t="s">
        <v>4</v>
      </c>
      <c r="D34" s="50" t="s">
        <v>121</v>
      </c>
      <c r="E34" s="45"/>
      <c r="F34" s="45"/>
      <c r="G34" s="45"/>
      <c r="H34" s="45"/>
      <c r="I34" s="45"/>
      <c r="J34" s="46"/>
    </row>
    <row r="35" spans="1:10" s="21" customFormat="1" ht="30" customHeight="1">
      <c r="A35" s="33" t="s">
        <v>122</v>
      </c>
      <c r="B35" s="34"/>
      <c r="C35" s="34"/>
      <c r="D35" s="34"/>
      <c r="E35" s="34"/>
      <c r="F35" s="34"/>
      <c r="G35" s="34"/>
      <c r="H35" s="34"/>
      <c r="I35" s="34"/>
      <c r="J35" s="35"/>
    </row>
    <row r="36" spans="1:10" ht="48" customHeight="1">
      <c r="A36" s="36">
        <v>25</v>
      </c>
      <c r="B36" s="37" t="s">
        <v>123</v>
      </c>
      <c r="C36" s="47" t="s">
        <v>4</v>
      </c>
      <c r="D36" s="48" t="s">
        <v>124</v>
      </c>
      <c r="E36" s="40"/>
      <c r="F36" s="40"/>
      <c r="G36" s="40"/>
      <c r="H36" s="40"/>
      <c r="I36" s="40"/>
      <c r="J36" s="41"/>
    </row>
    <row r="37" spans="1:10" ht="48" customHeight="1">
      <c r="A37" s="42">
        <v>26</v>
      </c>
      <c r="B37" s="37"/>
      <c r="C37" s="49" t="s">
        <v>4</v>
      </c>
      <c r="D37" s="50" t="s">
        <v>125</v>
      </c>
      <c r="E37" s="45"/>
      <c r="F37" s="45"/>
      <c r="G37" s="45"/>
      <c r="H37" s="45"/>
      <c r="I37" s="45"/>
      <c r="J37" s="46"/>
    </row>
    <row r="38" spans="1:10" ht="48" customHeight="1">
      <c r="A38" s="36">
        <v>27</v>
      </c>
      <c r="B38" s="37"/>
      <c r="C38" s="47" t="s">
        <v>4</v>
      </c>
      <c r="D38" s="48" t="s">
        <v>126</v>
      </c>
      <c r="E38" s="40"/>
      <c r="F38" s="40"/>
      <c r="G38" s="40"/>
      <c r="H38" s="40"/>
      <c r="I38" s="40"/>
      <c r="J38" s="41"/>
    </row>
    <row r="39" spans="1:10" ht="48" customHeight="1">
      <c r="A39" s="42">
        <v>28</v>
      </c>
      <c r="B39" s="37"/>
      <c r="C39" s="49" t="s">
        <v>4</v>
      </c>
      <c r="D39" s="50" t="s">
        <v>127</v>
      </c>
      <c r="E39" s="45"/>
      <c r="F39" s="45"/>
      <c r="G39" s="45"/>
      <c r="H39" s="45"/>
      <c r="I39" s="45"/>
      <c r="J39" s="46"/>
    </row>
    <row r="40" spans="1:10" s="21" customFormat="1" ht="30" customHeight="1">
      <c r="A40" s="33" t="s">
        <v>128</v>
      </c>
      <c r="B40" s="34"/>
      <c r="C40" s="34"/>
      <c r="D40" s="34"/>
      <c r="E40" s="34"/>
      <c r="F40" s="34"/>
      <c r="G40" s="34"/>
      <c r="H40" s="34"/>
      <c r="I40" s="34"/>
      <c r="J40" s="35"/>
    </row>
    <row r="41" spans="1:10" ht="48" customHeight="1">
      <c r="A41" s="36">
        <v>29</v>
      </c>
      <c r="B41" s="37" t="s">
        <v>129</v>
      </c>
      <c r="C41" s="47" t="s">
        <v>4</v>
      </c>
      <c r="D41" s="48" t="s">
        <v>130</v>
      </c>
      <c r="E41" s="40"/>
      <c r="F41" s="40"/>
      <c r="G41" s="40"/>
      <c r="H41" s="40"/>
      <c r="I41" s="40"/>
      <c r="J41" s="41"/>
    </row>
    <row r="42" spans="1:10" ht="48" customHeight="1">
      <c r="A42" s="42">
        <v>30</v>
      </c>
      <c r="B42" s="37"/>
      <c r="C42" s="49" t="s">
        <v>4</v>
      </c>
      <c r="D42" s="50" t="s">
        <v>131</v>
      </c>
      <c r="E42" s="45"/>
      <c r="F42" s="45"/>
      <c r="G42" s="45"/>
      <c r="H42" s="45"/>
      <c r="I42" s="45"/>
      <c r="J42" s="46"/>
    </row>
    <row r="43" spans="1:10" ht="48" customHeight="1">
      <c r="A43" s="36">
        <v>31</v>
      </c>
      <c r="B43" s="37"/>
      <c r="C43" s="47" t="s">
        <v>4</v>
      </c>
      <c r="D43" s="48" t="s">
        <v>132</v>
      </c>
      <c r="E43" s="40"/>
      <c r="F43" s="40"/>
      <c r="G43" s="40"/>
      <c r="H43" s="40"/>
      <c r="I43" s="40"/>
      <c r="J43" s="41"/>
    </row>
    <row r="44" spans="1:10" ht="48" customHeight="1">
      <c r="A44" s="42">
        <v>32</v>
      </c>
      <c r="B44" s="37"/>
      <c r="C44" s="49" t="s">
        <v>4</v>
      </c>
      <c r="D44" s="50" t="s">
        <v>133</v>
      </c>
      <c r="E44" s="45"/>
      <c r="F44" s="45"/>
      <c r="G44" s="45"/>
      <c r="H44" s="45"/>
      <c r="I44" s="45"/>
      <c r="J44" s="46"/>
    </row>
    <row r="45" spans="1:10" s="21" customFormat="1" ht="30" customHeight="1">
      <c r="A45" s="33" t="s">
        <v>134</v>
      </c>
      <c r="B45" s="34"/>
      <c r="C45" s="34"/>
      <c r="D45" s="34"/>
      <c r="E45" s="34"/>
      <c r="F45" s="34"/>
      <c r="G45" s="34"/>
      <c r="H45" s="34"/>
      <c r="I45" s="34"/>
      <c r="J45" s="35"/>
    </row>
    <row r="46" spans="1:10" ht="48" customHeight="1">
      <c r="A46" s="36">
        <v>33</v>
      </c>
      <c r="B46" s="37" t="s">
        <v>135</v>
      </c>
      <c r="C46" s="47" t="s">
        <v>3</v>
      </c>
      <c r="D46" s="48" t="s">
        <v>136</v>
      </c>
      <c r="E46" s="40"/>
      <c r="F46" s="40"/>
      <c r="G46" s="40"/>
      <c r="H46" s="40"/>
      <c r="I46" s="40"/>
      <c r="J46" s="41"/>
    </row>
    <row r="47" spans="1:10" ht="48" customHeight="1">
      <c r="A47" s="42">
        <v>34</v>
      </c>
      <c r="B47" s="37"/>
      <c r="C47" s="49" t="s">
        <v>3</v>
      </c>
      <c r="D47" s="50" t="s">
        <v>137</v>
      </c>
      <c r="E47" s="45"/>
      <c r="F47" s="45"/>
      <c r="G47" s="45"/>
      <c r="H47" s="45"/>
      <c r="I47" s="45"/>
      <c r="J47" s="46"/>
    </row>
    <row r="48" spans="1:10" ht="48" customHeight="1">
      <c r="A48" s="36">
        <v>35</v>
      </c>
      <c r="B48" s="37"/>
      <c r="C48" s="47" t="s">
        <v>3</v>
      </c>
      <c r="D48" s="48" t="s">
        <v>138</v>
      </c>
      <c r="E48" s="40"/>
      <c r="F48" s="40"/>
      <c r="G48" s="40"/>
      <c r="H48" s="40"/>
      <c r="I48" s="40"/>
      <c r="J48" s="41"/>
    </row>
    <row r="49" spans="1:10" ht="48" customHeight="1">
      <c r="A49" s="42">
        <v>36</v>
      </c>
      <c r="B49" s="37"/>
      <c r="C49" s="49" t="s">
        <v>3</v>
      </c>
      <c r="D49" s="50" t="s">
        <v>139</v>
      </c>
      <c r="E49" s="45"/>
      <c r="F49" s="45"/>
      <c r="G49" s="45"/>
      <c r="H49" s="45"/>
      <c r="I49" s="45"/>
      <c r="J49" s="46"/>
    </row>
    <row r="50" spans="1:10" s="21" customFormat="1" ht="30" customHeight="1">
      <c r="A50" s="33" t="s">
        <v>140</v>
      </c>
      <c r="B50" s="34"/>
      <c r="C50" s="34"/>
      <c r="D50" s="34"/>
      <c r="E50" s="34"/>
      <c r="F50" s="34"/>
      <c r="G50" s="34"/>
      <c r="H50" s="34"/>
      <c r="I50" s="34"/>
      <c r="J50" s="35"/>
    </row>
    <row r="51" spans="1:10" ht="48" customHeight="1">
      <c r="A51" s="36">
        <v>37</v>
      </c>
      <c r="B51" s="37" t="s">
        <v>141</v>
      </c>
      <c r="C51" s="47" t="s">
        <v>4</v>
      </c>
      <c r="D51" s="48" t="s">
        <v>142</v>
      </c>
      <c r="E51" s="40"/>
      <c r="F51" s="40"/>
      <c r="G51" s="40"/>
      <c r="H51" s="40"/>
      <c r="I51" s="40"/>
      <c r="J51" s="41"/>
    </row>
    <row r="52" spans="1:10" ht="48" customHeight="1">
      <c r="A52" s="42">
        <v>38</v>
      </c>
      <c r="B52" s="37"/>
      <c r="C52" s="49" t="s">
        <v>4</v>
      </c>
      <c r="D52" s="50" t="s">
        <v>143</v>
      </c>
      <c r="E52" s="45"/>
      <c r="F52" s="45"/>
      <c r="G52" s="45"/>
      <c r="H52" s="45"/>
      <c r="I52" s="45"/>
      <c r="J52" s="46"/>
    </row>
    <row r="53" spans="1:10" ht="48" customHeight="1">
      <c r="A53" s="36">
        <v>39</v>
      </c>
      <c r="B53" s="37"/>
      <c r="C53" s="47" t="s">
        <v>4</v>
      </c>
      <c r="D53" s="48" t="s">
        <v>144</v>
      </c>
      <c r="E53" s="40"/>
      <c r="F53" s="40"/>
      <c r="G53" s="40"/>
      <c r="H53" s="40"/>
      <c r="I53" s="40"/>
      <c r="J53" s="41"/>
    </row>
    <row r="54" spans="1:10" ht="48" customHeight="1">
      <c r="A54" s="42">
        <v>40</v>
      </c>
      <c r="B54" s="37"/>
      <c r="C54" s="49" t="s">
        <v>4</v>
      </c>
      <c r="D54" s="50" t="s">
        <v>145</v>
      </c>
      <c r="E54" s="45"/>
      <c r="F54" s="45"/>
      <c r="G54" s="45"/>
      <c r="H54" s="45"/>
      <c r="I54" s="45"/>
      <c r="J54" s="46"/>
    </row>
    <row r="55" spans="1:10" ht="30" customHeight="1" thickBot="1">
      <c r="A55" s="52" t="s">
        <v>5</v>
      </c>
      <c r="B55" s="53"/>
      <c r="C55" s="53"/>
      <c r="D55" s="54" t="s">
        <v>6</v>
      </c>
      <c r="E55" s="55" t="str">
        <f>IFERROR(AVERAGEIF(E5:E54,"&lt;&gt;"&amp;""),"-")</f>
        <v>-</v>
      </c>
      <c r="F55" s="55" t="str">
        <f>IFERROR(AVERAGEIF(F5:F54,"&lt;&gt;"&amp;""),"-")</f>
        <v>-</v>
      </c>
      <c r="G55" s="55" t="str">
        <f>IFERROR(AVERAGEIF(G5:G54,"&lt;&gt;"&amp;""),"-")</f>
        <v>-</v>
      </c>
      <c r="H55" s="55" t="str">
        <f>IFERROR(AVERAGEIF(H5:H54,"&lt;&gt;"&amp;""),"-")</f>
        <v>-</v>
      </c>
      <c r="I55" s="55" t="str">
        <f>IFERROR(AVERAGEIF(I5:I54,"&lt;&gt;"&amp;""),"-")</f>
        <v>-</v>
      </c>
      <c r="J55" s="56"/>
    </row>
    <row r="56" spans="1:10" ht="18" customHeight="1" thickTop="1">
      <c r="A56" s="2" t="s">
        <v>7</v>
      </c>
      <c r="B56" s="2"/>
      <c r="C56" s="2"/>
      <c r="D56" s="2"/>
      <c r="E56" s="2"/>
      <c r="F56" s="2"/>
      <c r="G56" s="2"/>
      <c r="H56" s="2"/>
      <c r="I56" s="2"/>
      <c r="J56" s="2"/>
    </row>
  </sheetData>
  <mergeCells count="25">
    <mergeCell ref="A56:J56"/>
    <mergeCell ref="B41:B44"/>
    <mergeCell ref="A45:J45"/>
    <mergeCell ref="B46:B49"/>
    <mergeCell ref="A50:J50"/>
    <mergeCell ref="B51:B54"/>
    <mergeCell ref="A55:C55"/>
    <mergeCell ref="B26:B29"/>
    <mergeCell ref="A30:J30"/>
    <mergeCell ref="B31:B34"/>
    <mergeCell ref="A35:J35"/>
    <mergeCell ref="B36:B39"/>
    <mergeCell ref="A40:J40"/>
    <mergeCell ref="B11:B14"/>
    <mergeCell ref="A15:J15"/>
    <mergeCell ref="B16:B19"/>
    <mergeCell ref="A20:J20"/>
    <mergeCell ref="B21:B24"/>
    <mergeCell ref="A25:J25"/>
    <mergeCell ref="A1:J1"/>
    <mergeCell ref="A2:J2"/>
    <mergeCell ref="A3:J3"/>
    <mergeCell ref="A5:J5"/>
    <mergeCell ref="B6:B9"/>
    <mergeCell ref="A10:J10"/>
  </mergeCells>
  <phoneticPr fontId="19" type="noConversion"/>
  <pageMargins left="0.75" right="0.75" top="1" bottom="1" header="0.511811023622047" footer="0.511811023622047"/>
  <pageSetup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Normal="100" workbookViewId="0">
      <pane ySplit="2" topLeftCell="A3" activePane="bottomLeft" state="frozen"/>
      <selection pane="bottomLeft" activeCell="H20" sqref="H20"/>
    </sheetView>
  </sheetViews>
  <sheetFormatPr defaultColWidth="8.6328125" defaultRowHeight="14.5"/>
  <cols>
    <col min="1" max="1" width="6" customWidth="1"/>
    <col min="2" max="2" width="30" customWidth="1"/>
    <col min="3" max="4" width="14" customWidth="1"/>
    <col min="5" max="5" width="18" customWidth="1"/>
    <col min="6" max="6" width="14" customWidth="1"/>
    <col min="7" max="7" width="40" customWidth="1"/>
  </cols>
  <sheetData>
    <row r="1" spans="1:7" ht="30" customHeight="1">
      <c r="A1" s="1" t="s">
        <v>58</v>
      </c>
      <c r="B1" s="1"/>
      <c r="C1" s="1"/>
      <c r="D1" s="1"/>
      <c r="E1" s="1"/>
      <c r="F1" s="1"/>
      <c r="G1" s="1"/>
    </row>
    <row r="2" spans="1:7" ht="31.5" customHeight="1">
      <c r="A2" s="9" t="s">
        <v>0</v>
      </c>
      <c r="B2" s="10" t="s">
        <v>1</v>
      </c>
      <c r="C2" s="10" t="s">
        <v>59</v>
      </c>
      <c r="D2" s="10" t="s">
        <v>60</v>
      </c>
      <c r="E2" s="10" t="s">
        <v>61</v>
      </c>
      <c r="F2" s="10" t="s">
        <v>62</v>
      </c>
      <c r="G2" s="10" t="s">
        <v>63</v>
      </c>
    </row>
    <row r="3" spans="1:7" ht="36" customHeight="1">
      <c r="A3" s="12">
        <v>1</v>
      </c>
      <c r="B3" s="16" t="s">
        <v>64</v>
      </c>
      <c r="C3" s="12"/>
      <c r="D3" s="12" t="s">
        <v>65</v>
      </c>
      <c r="E3" s="11" t="s">
        <v>66</v>
      </c>
      <c r="F3" s="12"/>
      <c r="G3" s="5"/>
    </row>
    <row r="4" spans="1:7" ht="36" customHeight="1">
      <c r="A4" s="14">
        <v>2</v>
      </c>
      <c r="B4" s="17" t="s">
        <v>67</v>
      </c>
      <c r="C4" s="14"/>
      <c r="D4" s="14" t="s">
        <v>65</v>
      </c>
      <c r="E4" s="13" t="s">
        <v>66</v>
      </c>
      <c r="F4" s="14"/>
      <c r="G4" s="6"/>
    </row>
    <row r="5" spans="1:7" ht="36" customHeight="1">
      <c r="A5" s="12">
        <v>3</v>
      </c>
      <c r="B5" s="16" t="s">
        <v>68</v>
      </c>
      <c r="C5" s="12"/>
      <c r="D5" s="12" t="s">
        <v>65</v>
      </c>
      <c r="E5" s="11" t="s">
        <v>66</v>
      </c>
      <c r="F5" s="12"/>
      <c r="G5" s="5"/>
    </row>
    <row r="6" spans="1:7" ht="36" customHeight="1">
      <c r="A6" s="14">
        <v>4</v>
      </c>
      <c r="B6" s="17" t="s">
        <v>69</v>
      </c>
      <c r="C6" s="14"/>
      <c r="D6" s="14" t="s">
        <v>65</v>
      </c>
      <c r="E6" s="13" t="s">
        <v>66</v>
      </c>
      <c r="F6" s="14"/>
      <c r="G6" s="6"/>
    </row>
    <row r="7" spans="1:7" ht="36" customHeight="1">
      <c r="A7" s="12">
        <v>5</v>
      </c>
      <c r="B7" s="16" t="s">
        <v>70</v>
      </c>
      <c r="C7" s="12"/>
      <c r="D7" s="12" t="s">
        <v>65</v>
      </c>
      <c r="E7" s="11" t="s">
        <v>66</v>
      </c>
      <c r="F7" s="12"/>
      <c r="G7" s="5"/>
    </row>
    <row r="8" spans="1:7" ht="36" customHeight="1">
      <c r="A8" s="14">
        <v>6</v>
      </c>
      <c r="B8" s="17" t="s">
        <v>71</v>
      </c>
      <c r="C8" s="14"/>
      <c r="D8" s="14" t="s">
        <v>65</v>
      </c>
      <c r="E8" s="13" t="s">
        <v>66</v>
      </c>
      <c r="F8" s="14"/>
      <c r="G8" s="6"/>
    </row>
    <row r="9" spans="1:7" ht="36" customHeight="1">
      <c r="A9" s="12">
        <v>7</v>
      </c>
      <c r="B9" s="16" t="s">
        <v>72</v>
      </c>
      <c r="C9" s="12"/>
      <c r="D9" s="12" t="s">
        <v>65</v>
      </c>
      <c r="E9" s="11" t="s">
        <v>66</v>
      </c>
      <c r="F9" s="12"/>
      <c r="G9" s="5"/>
    </row>
    <row r="10" spans="1:7" ht="36" customHeight="1">
      <c r="A10" s="14">
        <v>8</v>
      </c>
      <c r="B10" s="17" t="s">
        <v>73</v>
      </c>
      <c r="C10" s="14"/>
      <c r="D10" s="14" t="s">
        <v>65</v>
      </c>
      <c r="E10" s="13" t="s">
        <v>66</v>
      </c>
      <c r="F10" s="14"/>
      <c r="G10" s="6"/>
    </row>
    <row r="11" spans="1:7" ht="36" customHeight="1">
      <c r="A11" s="12">
        <v>9</v>
      </c>
      <c r="B11" s="16" t="s">
        <v>74</v>
      </c>
      <c r="C11" s="12"/>
      <c r="D11" s="12" t="s">
        <v>65</v>
      </c>
      <c r="E11" s="11" t="s">
        <v>66</v>
      </c>
      <c r="F11" s="12"/>
      <c r="G11" s="5"/>
    </row>
    <row r="12" spans="1:7" ht="36" customHeight="1">
      <c r="A12" s="14">
        <v>10</v>
      </c>
      <c r="B12" s="17" t="s">
        <v>75</v>
      </c>
      <c r="C12" s="14"/>
      <c r="D12" s="14" t="s">
        <v>65</v>
      </c>
      <c r="E12" s="13" t="s">
        <v>66</v>
      </c>
      <c r="F12" s="14"/>
      <c r="G12" s="6"/>
    </row>
    <row r="13" spans="1:7" ht="25.5" customHeight="1">
      <c r="A13" s="3" t="s">
        <v>76</v>
      </c>
      <c r="B13" s="3"/>
      <c r="C13" s="18" t="str">
        <f>IFERROR(AVERAGE(C3:C12),"미입력")</f>
        <v>미입력</v>
      </c>
      <c r="D13" s="8"/>
      <c r="E13" s="8"/>
      <c r="F13" s="8"/>
      <c r="G13" s="8"/>
    </row>
  </sheetData>
  <mergeCells count="2">
    <mergeCell ref="A1:G1"/>
    <mergeCell ref="A13:B13"/>
  </mergeCells>
  <phoneticPr fontId="19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25</vt:i4>
      </vt:variant>
    </vt:vector>
  </HeadingPairs>
  <TitlesOfParts>
    <vt:vector size="52" baseType="lpstr">
      <vt:lpstr>휴리스틱 사용성 평가지1</vt:lpstr>
      <vt:lpstr>휴리스틱 사용성 평가지2</vt:lpstr>
      <vt:lpstr>태스크 시나리오 기록</vt:lpstr>
      <vt:lpstr> 휴리스틱 사용성 평가지3</vt:lpstr>
      <vt:lpstr>휴리스틱 사용성 평가지4</vt:lpstr>
      <vt:lpstr>휴리스틱 사용성 평가지5</vt:lpstr>
      <vt:lpstr>휴리스틱 사용성 평가지6</vt:lpstr>
      <vt:lpstr>휴리스틱 사용성 평가지7</vt:lpstr>
      <vt:lpstr>휴리스틱 사용성 평가지8</vt:lpstr>
      <vt:lpstr>휴리스틱 사용성 평가지9</vt:lpstr>
      <vt:lpstr>휴리스틱 사용성 평가지10</vt:lpstr>
      <vt:lpstr>휴리스틱 사용성 평가지11</vt:lpstr>
      <vt:lpstr>휴리스틱 사용성 평가지12</vt:lpstr>
      <vt:lpstr>휴리스틱 사용성 평가지13</vt:lpstr>
      <vt:lpstr>휴리스틱 사용성 평가지14</vt:lpstr>
      <vt:lpstr>휴리스틱 사용성 평가지15</vt:lpstr>
      <vt:lpstr>휴리스틱 사용성 평가지16</vt:lpstr>
      <vt:lpstr>휴리스틱 사용성 평가지17</vt:lpstr>
      <vt:lpstr>휴리스틱 사용성 평가지18</vt:lpstr>
      <vt:lpstr>휴리스틱 사용성 평가지19</vt:lpstr>
      <vt:lpstr>휴리스틱 사용성 평가지20</vt:lpstr>
      <vt:lpstr>휴리스틱 사용성 평가지21</vt:lpstr>
      <vt:lpstr>휴리스틱 사용성 평가지23</vt:lpstr>
      <vt:lpstr>휴리스틱 사용성 평가지24</vt:lpstr>
      <vt:lpstr>휴리스틱 사용성 평가지25</vt:lpstr>
      <vt:lpstr>휴리스틱 사용성 평가지26</vt:lpstr>
      <vt:lpstr>종합 분석 요약</vt:lpstr>
      <vt:lpstr>' 휴리스틱 사용성 평가지3'!Print_Titles</vt:lpstr>
      <vt:lpstr>'휴리스틱 사용성 평가지1'!Print_Titles</vt:lpstr>
      <vt:lpstr>'휴리스틱 사용성 평가지10'!Print_Titles</vt:lpstr>
      <vt:lpstr>'휴리스틱 사용성 평가지11'!Print_Titles</vt:lpstr>
      <vt:lpstr>'휴리스틱 사용성 평가지12'!Print_Titles</vt:lpstr>
      <vt:lpstr>'휴리스틱 사용성 평가지13'!Print_Titles</vt:lpstr>
      <vt:lpstr>'휴리스틱 사용성 평가지14'!Print_Titles</vt:lpstr>
      <vt:lpstr>'휴리스틱 사용성 평가지15'!Print_Titles</vt:lpstr>
      <vt:lpstr>'휴리스틱 사용성 평가지16'!Print_Titles</vt:lpstr>
      <vt:lpstr>'휴리스틱 사용성 평가지17'!Print_Titles</vt:lpstr>
      <vt:lpstr>'휴리스틱 사용성 평가지18'!Print_Titles</vt:lpstr>
      <vt:lpstr>'휴리스틱 사용성 평가지19'!Print_Titles</vt:lpstr>
      <vt:lpstr>'휴리스틱 사용성 평가지2'!Print_Titles</vt:lpstr>
      <vt:lpstr>'휴리스틱 사용성 평가지20'!Print_Titles</vt:lpstr>
      <vt:lpstr>'휴리스틱 사용성 평가지21'!Print_Titles</vt:lpstr>
      <vt:lpstr>'휴리스틱 사용성 평가지23'!Print_Titles</vt:lpstr>
      <vt:lpstr>'휴리스틱 사용성 평가지24'!Print_Titles</vt:lpstr>
      <vt:lpstr>'휴리스틱 사용성 평가지25'!Print_Titles</vt:lpstr>
      <vt:lpstr>'휴리스틱 사용성 평가지26'!Print_Titles</vt:lpstr>
      <vt:lpstr>'휴리스틱 사용성 평가지4'!Print_Titles</vt:lpstr>
      <vt:lpstr>'휴리스틱 사용성 평가지5'!Print_Titles</vt:lpstr>
      <vt:lpstr>'휴리스틱 사용성 평가지6'!Print_Titles</vt:lpstr>
      <vt:lpstr>'휴리스틱 사용성 평가지7'!Print_Titles</vt:lpstr>
      <vt:lpstr>'휴리스틱 사용성 평가지8'!Print_Titles</vt:lpstr>
      <vt:lpstr>'휴리스틱 사용성 평가지9'!Print_Titles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J.영</cp:lastModifiedBy>
  <cp:revision>0</cp:revision>
  <dcterms:created xsi:type="dcterms:W3CDTF">2026-05-26T00:50:56Z</dcterms:created>
  <dcterms:modified xsi:type="dcterms:W3CDTF">2026-05-26T02:07:54Z</dcterms:modified>
  <dc:language>en-US</dc:language>
</cp:coreProperties>
</file>